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7500" windowHeight="4965" activeTab="2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K11" i="3" l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10" i="3"/>
  <c r="H521" i="3"/>
  <c r="D521" i="3"/>
  <c r="G521" i="3" s="1"/>
  <c r="J521" i="3" s="1"/>
  <c r="C521" i="3"/>
  <c r="H520" i="3"/>
  <c r="D520" i="3"/>
  <c r="G520" i="3" s="1"/>
  <c r="J520" i="3" s="1"/>
  <c r="C520" i="3"/>
  <c r="H519" i="3"/>
  <c r="D519" i="3"/>
  <c r="G519" i="3" s="1"/>
  <c r="J519" i="3" s="1"/>
  <c r="C519" i="3"/>
  <c r="H518" i="3"/>
  <c r="D518" i="3"/>
  <c r="G518" i="3" s="1"/>
  <c r="J518" i="3" s="1"/>
  <c r="C518" i="3"/>
  <c r="H517" i="3"/>
  <c r="D517" i="3"/>
  <c r="G517" i="3" s="1"/>
  <c r="J517" i="3" s="1"/>
  <c r="C517" i="3"/>
  <c r="H516" i="3"/>
  <c r="D516" i="3"/>
  <c r="G516" i="3" s="1"/>
  <c r="J516" i="3" s="1"/>
  <c r="C516" i="3"/>
  <c r="H515" i="3"/>
  <c r="D515" i="3"/>
  <c r="G515" i="3" s="1"/>
  <c r="J515" i="3" s="1"/>
  <c r="C515" i="3"/>
  <c r="H514" i="3"/>
  <c r="D514" i="3"/>
  <c r="G514" i="3" s="1"/>
  <c r="J514" i="3" s="1"/>
  <c r="C514" i="3"/>
  <c r="H513" i="3"/>
  <c r="D513" i="3"/>
  <c r="G513" i="3" s="1"/>
  <c r="J513" i="3" s="1"/>
  <c r="C513" i="3"/>
  <c r="H512" i="3"/>
  <c r="D512" i="3"/>
  <c r="G512" i="3" s="1"/>
  <c r="J512" i="3" s="1"/>
  <c r="C512" i="3"/>
  <c r="H511" i="3"/>
  <c r="D511" i="3"/>
  <c r="G511" i="3" s="1"/>
  <c r="J511" i="3" s="1"/>
  <c r="C511" i="3"/>
  <c r="H510" i="3"/>
  <c r="D510" i="3"/>
  <c r="G510" i="3" s="1"/>
  <c r="J510" i="3" s="1"/>
  <c r="C510" i="3"/>
  <c r="H509" i="3"/>
  <c r="D509" i="3"/>
  <c r="G509" i="3" s="1"/>
  <c r="J509" i="3" s="1"/>
  <c r="C509" i="3"/>
  <c r="H508" i="3"/>
  <c r="D508" i="3"/>
  <c r="G508" i="3" s="1"/>
  <c r="J508" i="3" s="1"/>
  <c r="C508" i="3"/>
  <c r="H507" i="3"/>
  <c r="D507" i="3"/>
  <c r="G507" i="3" s="1"/>
  <c r="J507" i="3" s="1"/>
  <c r="C507" i="3"/>
  <c r="H506" i="3"/>
  <c r="D506" i="3"/>
  <c r="G506" i="3" s="1"/>
  <c r="J506" i="3" s="1"/>
  <c r="C506" i="3"/>
  <c r="H505" i="3"/>
  <c r="D505" i="3"/>
  <c r="G505" i="3" s="1"/>
  <c r="J505" i="3" s="1"/>
  <c r="C505" i="3"/>
  <c r="H504" i="3"/>
  <c r="D504" i="3"/>
  <c r="G504" i="3" s="1"/>
  <c r="J504" i="3" s="1"/>
  <c r="C504" i="3"/>
  <c r="H503" i="3"/>
  <c r="D503" i="3"/>
  <c r="G503" i="3" s="1"/>
  <c r="J503" i="3" s="1"/>
  <c r="C503" i="3"/>
  <c r="H502" i="3"/>
  <c r="D502" i="3"/>
  <c r="G502" i="3" s="1"/>
  <c r="J502" i="3" s="1"/>
  <c r="C502" i="3"/>
  <c r="H501" i="3"/>
  <c r="D501" i="3"/>
  <c r="G501" i="3" s="1"/>
  <c r="J501" i="3" s="1"/>
  <c r="C501" i="3"/>
  <c r="H500" i="3"/>
  <c r="D500" i="3"/>
  <c r="G500" i="3" s="1"/>
  <c r="J500" i="3" s="1"/>
  <c r="C500" i="3"/>
  <c r="H499" i="3"/>
  <c r="D499" i="3"/>
  <c r="G499" i="3" s="1"/>
  <c r="J499" i="3" s="1"/>
  <c r="C499" i="3"/>
  <c r="H498" i="3"/>
  <c r="D498" i="3"/>
  <c r="G498" i="3" s="1"/>
  <c r="J498" i="3" s="1"/>
  <c r="C498" i="3"/>
  <c r="H497" i="3"/>
  <c r="D497" i="3"/>
  <c r="G497" i="3" s="1"/>
  <c r="J497" i="3" s="1"/>
  <c r="C497" i="3"/>
  <c r="H496" i="3"/>
  <c r="D496" i="3"/>
  <c r="G496" i="3" s="1"/>
  <c r="J496" i="3" s="1"/>
  <c r="C496" i="3"/>
  <c r="H495" i="3"/>
  <c r="D495" i="3"/>
  <c r="G495" i="3" s="1"/>
  <c r="J495" i="3" s="1"/>
  <c r="C495" i="3"/>
  <c r="H494" i="3"/>
  <c r="D494" i="3"/>
  <c r="G494" i="3" s="1"/>
  <c r="J494" i="3" s="1"/>
  <c r="C494" i="3"/>
  <c r="H493" i="3"/>
  <c r="D493" i="3"/>
  <c r="G493" i="3" s="1"/>
  <c r="J493" i="3" s="1"/>
  <c r="C493" i="3"/>
  <c r="H492" i="3"/>
  <c r="D492" i="3"/>
  <c r="G492" i="3" s="1"/>
  <c r="J492" i="3" s="1"/>
  <c r="C492" i="3"/>
  <c r="H491" i="3"/>
  <c r="D491" i="3"/>
  <c r="G491" i="3" s="1"/>
  <c r="J491" i="3" s="1"/>
  <c r="C491" i="3"/>
  <c r="H490" i="3"/>
  <c r="D490" i="3"/>
  <c r="G490" i="3" s="1"/>
  <c r="J490" i="3" s="1"/>
  <c r="C490" i="3"/>
  <c r="H489" i="3"/>
  <c r="D489" i="3"/>
  <c r="G489" i="3" s="1"/>
  <c r="J489" i="3" s="1"/>
  <c r="C489" i="3"/>
  <c r="H488" i="3"/>
  <c r="D488" i="3"/>
  <c r="G488" i="3" s="1"/>
  <c r="J488" i="3" s="1"/>
  <c r="C488" i="3"/>
  <c r="H487" i="3"/>
  <c r="D487" i="3"/>
  <c r="G487" i="3" s="1"/>
  <c r="J487" i="3" s="1"/>
  <c r="C487" i="3"/>
  <c r="H486" i="3"/>
  <c r="D486" i="3"/>
  <c r="G486" i="3" s="1"/>
  <c r="J486" i="3" s="1"/>
  <c r="C486" i="3"/>
  <c r="H485" i="3"/>
  <c r="D485" i="3"/>
  <c r="G485" i="3" s="1"/>
  <c r="J485" i="3" s="1"/>
  <c r="C485" i="3"/>
  <c r="H484" i="3"/>
  <c r="D484" i="3"/>
  <c r="G484" i="3" s="1"/>
  <c r="J484" i="3" s="1"/>
  <c r="C484" i="3"/>
  <c r="H483" i="3"/>
  <c r="D483" i="3"/>
  <c r="G483" i="3" s="1"/>
  <c r="J483" i="3" s="1"/>
  <c r="C483" i="3"/>
  <c r="H482" i="3"/>
  <c r="D482" i="3"/>
  <c r="G482" i="3" s="1"/>
  <c r="J482" i="3" s="1"/>
  <c r="C482" i="3"/>
  <c r="H481" i="3"/>
  <c r="D481" i="3"/>
  <c r="G481" i="3" s="1"/>
  <c r="J481" i="3" s="1"/>
  <c r="C481" i="3"/>
  <c r="H480" i="3"/>
  <c r="D480" i="3"/>
  <c r="G480" i="3" s="1"/>
  <c r="J480" i="3" s="1"/>
  <c r="C480" i="3"/>
  <c r="H479" i="3"/>
  <c r="G479" i="3"/>
  <c r="J479" i="3" s="1"/>
  <c r="D479" i="3"/>
  <c r="C479" i="3"/>
  <c r="H478" i="3"/>
  <c r="G478" i="3"/>
  <c r="J478" i="3" s="1"/>
  <c r="D478" i="3"/>
  <c r="C478" i="3"/>
  <c r="H477" i="3"/>
  <c r="G477" i="3"/>
  <c r="J477" i="3" s="1"/>
  <c r="D477" i="3"/>
  <c r="C477" i="3"/>
  <c r="H476" i="3"/>
  <c r="G476" i="3"/>
  <c r="J476" i="3" s="1"/>
  <c r="D476" i="3"/>
  <c r="C476" i="3"/>
  <c r="H475" i="3"/>
  <c r="G475" i="3"/>
  <c r="J475" i="3" s="1"/>
  <c r="D475" i="3"/>
  <c r="C475" i="3"/>
  <c r="H474" i="3"/>
  <c r="G474" i="3"/>
  <c r="J474" i="3" s="1"/>
  <c r="D474" i="3"/>
  <c r="C474" i="3"/>
  <c r="H473" i="3"/>
  <c r="G473" i="3"/>
  <c r="J473" i="3" s="1"/>
  <c r="D473" i="3"/>
  <c r="C473" i="3"/>
  <c r="H472" i="3"/>
  <c r="G472" i="3"/>
  <c r="J472" i="3" s="1"/>
  <c r="D472" i="3"/>
  <c r="C472" i="3"/>
  <c r="H471" i="3"/>
  <c r="G471" i="3"/>
  <c r="J471" i="3" s="1"/>
  <c r="D471" i="3"/>
  <c r="C471" i="3"/>
  <c r="H470" i="3"/>
  <c r="G470" i="3"/>
  <c r="J470" i="3" s="1"/>
  <c r="D470" i="3"/>
  <c r="C470" i="3"/>
  <c r="H469" i="3"/>
  <c r="G469" i="3"/>
  <c r="J469" i="3" s="1"/>
  <c r="D469" i="3"/>
  <c r="C469" i="3"/>
  <c r="H468" i="3"/>
  <c r="G468" i="3"/>
  <c r="J468" i="3" s="1"/>
  <c r="D468" i="3"/>
  <c r="C468" i="3"/>
  <c r="H467" i="3"/>
  <c r="G467" i="3"/>
  <c r="J467" i="3" s="1"/>
  <c r="D467" i="3"/>
  <c r="C467" i="3"/>
  <c r="H466" i="3"/>
  <c r="G466" i="3"/>
  <c r="J466" i="3" s="1"/>
  <c r="D466" i="3"/>
  <c r="C466" i="3"/>
  <c r="H465" i="3"/>
  <c r="G465" i="3"/>
  <c r="J465" i="3" s="1"/>
  <c r="D465" i="3"/>
  <c r="C465" i="3"/>
  <c r="H464" i="3"/>
  <c r="G464" i="3"/>
  <c r="J464" i="3" s="1"/>
  <c r="D464" i="3"/>
  <c r="C464" i="3"/>
  <c r="H463" i="3"/>
  <c r="G463" i="3"/>
  <c r="J463" i="3" s="1"/>
  <c r="D463" i="3"/>
  <c r="C463" i="3"/>
  <c r="H462" i="3"/>
  <c r="G462" i="3"/>
  <c r="J462" i="3" s="1"/>
  <c r="D462" i="3"/>
  <c r="C462" i="3"/>
  <c r="H461" i="3"/>
  <c r="G461" i="3"/>
  <c r="J461" i="3" s="1"/>
  <c r="D461" i="3"/>
  <c r="C461" i="3"/>
  <c r="H460" i="3"/>
  <c r="G460" i="3"/>
  <c r="J460" i="3" s="1"/>
  <c r="D460" i="3"/>
  <c r="C460" i="3"/>
  <c r="H459" i="3"/>
  <c r="G459" i="3"/>
  <c r="J459" i="3" s="1"/>
  <c r="D459" i="3"/>
  <c r="C459" i="3"/>
  <c r="H458" i="3"/>
  <c r="G458" i="3"/>
  <c r="J458" i="3" s="1"/>
  <c r="D458" i="3"/>
  <c r="C458" i="3"/>
  <c r="H457" i="3"/>
  <c r="G457" i="3"/>
  <c r="J457" i="3" s="1"/>
  <c r="D457" i="3"/>
  <c r="C457" i="3"/>
  <c r="H456" i="3"/>
  <c r="G456" i="3"/>
  <c r="J456" i="3" s="1"/>
  <c r="D456" i="3"/>
  <c r="C456" i="3"/>
  <c r="H455" i="3"/>
  <c r="G455" i="3"/>
  <c r="J455" i="3" s="1"/>
  <c r="D455" i="3"/>
  <c r="C455" i="3"/>
  <c r="H454" i="3"/>
  <c r="G454" i="3"/>
  <c r="J454" i="3" s="1"/>
  <c r="D454" i="3"/>
  <c r="C454" i="3"/>
  <c r="H453" i="3"/>
  <c r="G453" i="3"/>
  <c r="J453" i="3" s="1"/>
  <c r="D453" i="3"/>
  <c r="C453" i="3"/>
  <c r="H452" i="3"/>
  <c r="G452" i="3"/>
  <c r="J452" i="3" s="1"/>
  <c r="D452" i="3"/>
  <c r="C452" i="3"/>
  <c r="H451" i="3"/>
  <c r="G451" i="3"/>
  <c r="J451" i="3" s="1"/>
  <c r="D451" i="3"/>
  <c r="C451" i="3"/>
  <c r="H450" i="3"/>
  <c r="G450" i="3"/>
  <c r="J450" i="3" s="1"/>
  <c r="D450" i="3"/>
  <c r="C450" i="3"/>
  <c r="H449" i="3"/>
  <c r="G449" i="3"/>
  <c r="J449" i="3" s="1"/>
  <c r="D449" i="3"/>
  <c r="C449" i="3"/>
  <c r="H448" i="3"/>
  <c r="G448" i="3"/>
  <c r="J448" i="3" s="1"/>
  <c r="D448" i="3"/>
  <c r="C448" i="3"/>
  <c r="H447" i="3"/>
  <c r="G447" i="3"/>
  <c r="J447" i="3" s="1"/>
  <c r="D447" i="3"/>
  <c r="C447" i="3"/>
  <c r="H446" i="3"/>
  <c r="G446" i="3"/>
  <c r="J446" i="3" s="1"/>
  <c r="D446" i="3"/>
  <c r="C446" i="3"/>
  <c r="H445" i="3"/>
  <c r="G445" i="3"/>
  <c r="J445" i="3" s="1"/>
  <c r="D445" i="3"/>
  <c r="C445" i="3"/>
  <c r="H444" i="3"/>
  <c r="G444" i="3"/>
  <c r="J444" i="3" s="1"/>
  <c r="D444" i="3"/>
  <c r="C444" i="3"/>
  <c r="H443" i="3"/>
  <c r="G443" i="3"/>
  <c r="J443" i="3" s="1"/>
  <c r="D443" i="3"/>
  <c r="C443" i="3"/>
  <c r="H442" i="3"/>
  <c r="G442" i="3"/>
  <c r="J442" i="3" s="1"/>
  <c r="D442" i="3"/>
  <c r="C442" i="3"/>
  <c r="H441" i="3"/>
  <c r="G441" i="3"/>
  <c r="J441" i="3" s="1"/>
  <c r="D441" i="3"/>
  <c r="C441" i="3"/>
  <c r="H440" i="3"/>
  <c r="G440" i="3"/>
  <c r="J440" i="3" s="1"/>
  <c r="D440" i="3"/>
  <c r="C440" i="3"/>
  <c r="H439" i="3"/>
  <c r="G439" i="3"/>
  <c r="J439" i="3" s="1"/>
  <c r="D439" i="3"/>
  <c r="C439" i="3"/>
  <c r="H438" i="3"/>
  <c r="G438" i="3"/>
  <c r="J438" i="3" s="1"/>
  <c r="D438" i="3"/>
  <c r="C438" i="3"/>
  <c r="H437" i="3"/>
  <c r="G437" i="3"/>
  <c r="J437" i="3" s="1"/>
  <c r="D437" i="3"/>
  <c r="C437" i="3"/>
  <c r="H436" i="3"/>
  <c r="G436" i="3"/>
  <c r="J436" i="3" s="1"/>
  <c r="D436" i="3"/>
  <c r="C436" i="3"/>
  <c r="H435" i="3"/>
  <c r="G435" i="3"/>
  <c r="J435" i="3" s="1"/>
  <c r="D435" i="3"/>
  <c r="C435" i="3"/>
  <c r="H434" i="3"/>
  <c r="G434" i="3"/>
  <c r="J434" i="3" s="1"/>
  <c r="D434" i="3"/>
  <c r="C434" i="3"/>
  <c r="H433" i="3"/>
  <c r="G433" i="3"/>
  <c r="J433" i="3" s="1"/>
  <c r="D433" i="3"/>
  <c r="C433" i="3"/>
  <c r="H432" i="3"/>
  <c r="G432" i="3"/>
  <c r="J432" i="3" s="1"/>
  <c r="D432" i="3"/>
  <c r="C432" i="3"/>
  <c r="H431" i="3"/>
  <c r="G431" i="3"/>
  <c r="J431" i="3" s="1"/>
  <c r="D431" i="3"/>
  <c r="C431" i="3"/>
  <c r="H430" i="3"/>
  <c r="G430" i="3"/>
  <c r="J430" i="3" s="1"/>
  <c r="D430" i="3"/>
  <c r="C430" i="3"/>
  <c r="H429" i="3"/>
  <c r="G429" i="3"/>
  <c r="J429" i="3" s="1"/>
  <c r="D429" i="3"/>
  <c r="C429" i="3"/>
  <c r="H428" i="3"/>
  <c r="G428" i="3"/>
  <c r="J428" i="3" s="1"/>
  <c r="D428" i="3"/>
  <c r="C428" i="3"/>
  <c r="H427" i="3"/>
  <c r="G427" i="3"/>
  <c r="J427" i="3" s="1"/>
  <c r="D427" i="3"/>
  <c r="C427" i="3"/>
  <c r="H426" i="3"/>
  <c r="G426" i="3"/>
  <c r="J426" i="3" s="1"/>
  <c r="D426" i="3"/>
  <c r="C426" i="3"/>
  <c r="H425" i="3"/>
  <c r="G425" i="3"/>
  <c r="J425" i="3" s="1"/>
  <c r="D425" i="3"/>
  <c r="C425" i="3"/>
  <c r="H424" i="3"/>
  <c r="G424" i="3"/>
  <c r="J424" i="3" s="1"/>
  <c r="D424" i="3"/>
  <c r="C424" i="3"/>
  <c r="H423" i="3"/>
  <c r="G423" i="3"/>
  <c r="J423" i="3" s="1"/>
  <c r="D423" i="3"/>
  <c r="C423" i="3"/>
  <c r="H422" i="3"/>
  <c r="G422" i="3"/>
  <c r="J422" i="3" s="1"/>
  <c r="D422" i="3"/>
  <c r="C422" i="3"/>
  <c r="H421" i="3"/>
  <c r="G421" i="3"/>
  <c r="J421" i="3" s="1"/>
  <c r="D421" i="3"/>
  <c r="C421" i="3"/>
  <c r="H420" i="3"/>
  <c r="G420" i="3"/>
  <c r="J420" i="3" s="1"/>
  <c r="D420" i="3"/>
  <c r="C420" i="3"/>
  <c r="H419" i="3"/>
  <c r="G419" i="3"/>
  <c r="J419" i="3" s="1"/>
  <c r="D419" i="3"/>
  <c r="C419" i="3"/>
  <c r="H418" i="3"/>
  <c r="G418" i="3"/>
  <c r="J418" i="3" s="1"/>
  <c r="D418" i="3"/>
  <c r="C418" i="3"/>
  <c r="H417" i="3"/>
  <c r="G417" i="3"/>
  <c r="J417" i="3" s="1"/>
  <c r="D417" i="3"/>
  <c r="C417" i="3"/>
  <c r="H416" i="3"/>
  <c r="G416" i="3"/>
  <c r="J416" i="3" s="1"/>
  <c r="D416" i="3"/>
  <c r="C416" i="3"/>
  <c r="H415" i="3"/>
  <c r="G415" i="3"/>
  <c r="J415" i="3" s="1"/>
  <c r="D415" i="3"/>
  <c r="C415" i="3"/>
  <c r="H414" i="3"/>
  <c r="G414" i="3"/>
  <c r="J414" i="3" s="1"/>
  <c r="D414" i="3"/>
  <c r="C414" i="3"/>
  <c r="H413" i="3"/>
  <c r="G413" i="3"/>
  <c r="J413" i="3" s="1"/>
  <c r="D413" i="3"/>
  <c r="C413" i="3"/>
  <c r="H412" i="3"/>
  <c r="G412" i="3"/>
  <c r="J412" i="3" s="1"/>
  <c r="D412" i="3"/>
  <c r="C412" i="3"/>
  <c r="H411" i="3"/>
  <c r="G411" i="3"/>
  <c r="J411" i="3" s="1"/>
  <c r="D411" i="3"/>
  <c r="C411" i="3"/>
  <c r="H410" i="3"/>
  <c r="G410" i="3"/>
  <c r="J410" i="3" s="1"/>
  <c r="D410" i="3"/>
  <c r="C410" i="3"/>
  <c r="H409" i="3"/>
  <c r="G409" i="3"/>
  <c r="J409" i="3" s="1"/>
  <c r="D409" i="3"/>
  <c r="C409" i="3"/>
  <c r="H408" i="3"/>
  <c r="G408" i="3"/>
  <c r="J408" i="3" s="1"/>
  <c r="D408" i="3"/>
  <c r="C408" i="3"/>
  <c r="H407" i="3"/>
  <c r="G407" i="3"/>
  <c r="J407" i="3" s="1"/>
  <c r="D407" i="3"/>
  <c r="C407" i="3"/>
  <c r="H406" i="3"/>
  <c r="G406" i="3"/>
  <c r="J406" i="3" s="1"/>
  <c r="D406" i="3"/>
  <c r="C406" i="3"/>
  <c r="H405" i="3"/>
  <c r="G405" i="3"/>
  <c r="J405" i="3" s="1"/>
  <c r="D405" i="3"/>
  <c r="C405" i="3"/>
  <c r="H404" i="3"/>
  <c r="G404" i="3"/>
  <c r="J404" i="3" s="1"/>
  <c r="D404" i="3"/>
  <c r="C404" i="3"/>
  <c r="H403" i="3"/>
  <c r="G403" i="3"/>
  <c r="J403" i="3" s="1"/>
  <c r="D403" i="3"/>
  <c r="C403" i="3"/>
  <c r="H402" i="3"/>
  <c r="G402" i="3"/>
  <c r="J402" i="3" s="1"/>
  <c r="D402" i="3"/>
  <c r="C402" i="3"/>
  <c r="H401" i="3"/>
  <c r="G401" i="3"/>
  <c r="J401" i="3" s="1"/>
  <c r="D401" i="3"/>
  <c r="C401" i="3"/>
  <c r="H400" i="3"/>
  <c r="D400" i="3"/>
  <c r="G400" i="3" s="1"/>
  <c r="J400" i="3" s="1"/>
  <c r="C400" i="3"/>
  <c r="H399" i="3"/>
  <c r="D399" i="3"/>
  <c r="G399" i="3" s="1"/>
  <c r="J399" i="3" s="1"/>
  <c r="C399" i="3"/>
  <c r="H398" i="3"/>
  <c r="D398" i="3"/>
  <c r="G398" i="3" s="1"/>
  <c r="J398" i="3" s="1"/>
  <c r="C398" i="3"/>
  <c r="H397" i="3"/>
  <c r="D397" i="3"/>
  <c r="G397" i="3" s="1"/>
  <c r="J397" i="3" s="1"/>
  <c r="C397" i="3"/>
  <c r="H396" i="3"/>
  <c r="D396" i="3"/>
  <c r="G396" i="3" s="1"/>
  <c r="J396" i="3" s="1"/>
  <c r="C396" i="3"/>
  <c r="H395" i="3"/>
  <c r="D395" i="3"/>
  <c r="G395" i="3" s="1"/>
  <c r="J395" i="3" s="1"/>
  <c r="C395" i="3"/>
  <c r="H394" i="3"/>
  <c r="D394" i="3"/>
  <c r="G394" i="3" s="1"/>
  <c r="J394" i="3" s="1"/>
  <c r="C394" i="3"/>
  <c r="H393" i="3"/>
  <c r="D393" i="3"/>
  <c r="G393" i="3" s="1"/>
  <c r="J393" i="3" s="1"/>
  <c r="C393" i="3"/>
  <c r="H392" i="3"/>
  <c r="D392" i="3"/>
  <c r="G392" i="3" s="1"/>
  <c r="J392" i="3" s="1"/>
  <c r="C392" i="3"/>
  <c r="H391" i="3"/>
  <c r="D391" i="3"/>
  <c r="G391" i="3" s="1"/>
  <c r="J391" i="3" s="1"/>
  <c r="C391" i="3"/>
  <c r="H390" i="3"/>
  <c r="D390" i="3"/>
  <c r="G390" i="3" s="1"/>
  <c r="J390" i="3" s="1"/>
  <c r="C390" i="3"/>
  <c r="H389" i="3"/>
  <c r="D389" i="3"/>
  <c r="G389" i="3" s="1"/>
  <c r="J389" i="3" s="1"/>
  <c r="C389" i="3"/>
  <c r="H388" i="3"/>
  <c r="D388" i="3"/>
  <c r="G388" i="3" s="1"/>
  <c r="J388" i="3" s="1"/>
  <c r="C388" i="3"/>
  <c r="H387" i="3"/>
  <c r="D387" i="3"/>
  <c r="G387" i="3" s="1"/>
  <c r="J387" i="3" s="1"/>
  <c r="C387" i="3"/>
  <c r="H386" i="3"/>
  <c r="D386" i="3"/>
  <c r="G386" i="3" s="1"/>
  <c r="J386" i="3" s="1"/>
  <c r="C386" i="3"/>
  <c r="H385" i="3"/>
  <c r="D385" i="3"/>
  <c r="G385" i="3" s="1"/>
  <c r="J385" i="3" s="1"/>
  <c r="C385" i="3"/>
  <c r="H384" i="3"/>
  <c r="D384" i="3"/>
  <c r="G384" i="3" s="1"/>
  <c r="J384" i="3" s="1"/>
  <c r="C384" i="3"/>
  <c r="H383" i="3"/>
  <c r="D383" i="3"/>
  <c r="G383" i="3" s="1"/>
  <c r="J383" i="3" s="1"/>
  <c r="C383" i="3"/>
  <c r="H382" i="3"/>
  <c r="D382" i="3"/>
  <c r="G382" i="3" s="1"/>
  <c r="J382" i="3" s="1"/>
  <c r="C382" i="3"/>
  <c r="H381" i="3"/>
  <c r="D381" i="3"/>
  <c r="G381" i="3" s="1"/>
  <c r="J381" i="3" s="1"/>
  <c r="C381" i="3"/>
  <c r="H380" i="3"/>
  <c r="D380" i="3"/>
  <c r="G380" i="3" s="1"/>
  <c r="J380" i="3" s="1"/>
  <c r="C380" i="3"/>
  <c r="H379" i="3"/>
  <c r="D379" i="3"/>
  <c r="G379" i="3" s="1"/>
  <c r="J379" i="3" s="1"/>
  <c r="C379" i="3"/>
  <c r="H378" i="3"/>
  <c r="D378" i="3"/>
  <c r="G378" i="3" s="1"/>
  <c r="J378" i="3" s="1"/>
  <c r="C378" i="3"/>
  <c r="H377" i="3"/>
  <c r="D377" i="3"/>
  <c r="G377" i="3" s="1"/>
  <c r="J377" i="3" s="1"/>
  <c r="C377" i="3"/>
  <c r="H376" i="3"/>
  <c r="D376" i="3"/>
  <c r="G376" i="3" s="1"/>
  <c r="J376" i="3" s="1"/>
  <c r="C376" i="3"/>
  <c r="H375" i="3"/>
  <c r="D375" i="3"/>
  <c r="G375" i="3" s="1"/>
  <c r="J375" i="3" s="1"/>
  <c r="C375" i="3"/>
  <c r="H374" i="3"/>
  <c r="D374" i="3"/>
  <c r="G374" i="3" s="1"/>
  <c r="J374" i="3" s="1"/>
  <c r="C374" i="3"/>
  <c r="H373" i="3"/>
  <c r="D373" i="3"/>
  <c r="G373" i="3" s="1"/>
  <c r="J373" i="3" s="1"/>
  <c r="C373" i="3"/>
  <c r="H372" i="3"/>
  <c r="D372" i="3"/>
  <c r="G372" i="3" s="1"/>
  <c r="J372" i="3" s="1"/>
  <c r="C372" i="3"/>
  <c r="H371" i="3"/>
  <c r="D371" i="3"/>
  <c r="G371" i="3" s="1"/>
  <c r="J371" i="3" s="1"/>
  <c r="C371" i="3"/>
  <c r="H370" i="3"/>
  <c r="D370" i="3"/>
  <c r="G370" i="3" s="1"/>
  <c r="J370" i="3" s="1"/>
  <c r="C370" i="3"/>
  <c r="H369" i="3"/>
  <c r="D369" i="3"/>
  <c r="G369" i="3" s="1"/>
  <c r="J369" i="3" s="1"/>
  <c r="C369" i="3"/>
  <c r="H368" i="3"/>
  <c r="D368" i="3"/>
  <c r="G368" i="3" s="1"/>
  <c r="J368" i="3" s="1"/>
  <c r="C368" i="3"/>
  <c r="H367" i="3"/>
  <c r="D367" i="3"/>
  <c r="G367" i="3" s="1"/>
  <c r="J367" i="3" s="1"/>
  <c r="C367" i="3"/>
  <c r="H366" i="3"/>
  <c r="D366" i="3"/>
  <c r="G366" i="3" s="1"/>
  <c r="J366" i="3" s="1"/>
  <c r="C366" i="3"/>
  <c r="H365" i="3"/>
  <c r="D365" i="3"/>
  <c r="G365" i="3" s="1"/>
  <c r="J365" i="3" s="1"/>
  <c r="C365" i="3"/>
  <c r="H364" i="3"/>
  <c r="D364" i="3"/>
  <c r="G364" i="3" s="1"/>
  <c r="J364" i="3" s="1"/>
  <c r="C364" i="3"/>
  <c r="H363" i="3"/>
  <c r="D363" i="3"/>
  <c r="G363" i="3" s="1"/>
  <c r="J363" i="3" s="1"/>
  <c r="C363" i="3"/>
  <c r="H362" i="3"/>
  <c r="D362" i="3"/>
  <c r="G362" i="3" s="1"/>
  <c r="J362" i="3" s="1"/>
  <c r="C362" i="3"/>
  <c r="H361" i="3"/>
  <c r="D361" i="3"/>
  <c r="G361" i="3" s="1"/>
  <c r="J361" i="3" s="1"/>
  <c r="C361" i="3"/>
  <c r="H360" i="3"/>
  <c r="D360" i="3"/>
  <c r="G360" i="3" s="1"/>
  <c r="J360" i="3" s="1"/>
  <c r="C360" i="3"/>
  <c r="H359" i="3"/>
  <c r="D359" i="3"/>
  <c r="G359" i="3" s="1"/>
  <c r="J359" i="3" s="1"/>
  <c r="C359" i="3"/>
  <c r="H358" i="3"/>
  <c r="D358" i="3"/>
  <c r="G358" i="3" s="1"/>
  <c r="J358" i="3" s="1"/>
  <c r="C358" i="3"/>
  <c r="H357" i="3"/>
  <c r="D357" i="3"/>
  <c r="G357" i="3" s="1"/>
  <c r="J357" i="3" s="1"/>
  <c r="C357" i="3"/>
  <c r="H356" i="3"/>
  <c r="D356" i="3"/>
  <c r="G356" i="3" s="1"/>
  <c r="J356" i="3" s="1"/>
  <c r="C356" i="3"/>
  <c r="H355" i="3"/>
  <c r="D355" i="3"/>
  <c r="G355" i="3" s="1"/>
  <c r="J355" i="3" s="1"/>
  <c r="C355" i="3"/>
  <c r="H354" i="3"/>
  <c r="D354" i="3"/>
  <c r="G354" i="3" s="1"/>
  <c r="J354" i="3" s="1"/>
  <c r="C354" i="3"/>
  <c r="H353" i="3"/>
  <c r="D353" i="3"/>
  <c r="G353" i="3" s="1"/>
  <c r="J353" i="3" s="1"/>
  <c r="C353" i="3"/>
  <c r="H352" i="3"/>
  <c r="D352" i="3"/>
  <c r="G352" i="3" s="1"/>
  <c r="J352" i="3" s="1"/>
  <c r="C352" i="3"/>
  <c r="H351" i="3"/>
  <c r="D351" i="3"/>
  <c r="G351" i="3" s="1"/>
  <c r="J351" i="3" s="1"/>
  <c r="C351" i="3"/>
  <c r="H350" i="3"/>
  <c r="D350" i="3"/>
  <c r="G350" i="3" s="1"/>
  <c r="J350" i="3" s="1"/>
  <c r="C350" i="3"/>
  <c r="H349" i="3"/>
  <c r="D349" i="3"/>
  <c r="G349" i="3" s="1"/>
  <c r="J349" i="3" s="1"/>
  <c r="C349" i="3"/>
  <c r="H348" i="3"/>
  <c r="D348" i="3"/>
  <c r="G348" i="3" s="1"/>
  <c r="J348" i="3" s="1"/>
  <c r="C348" i="3"/>
  <c r="H347" i="3"/>
  <c r="D347" i="3"/>
  <c r="G347" i="3" s="1"/>
  <c r="J347" i="3" s="1"/>
  <c r="C347" i="3"/>
  <c r="H346" i="3"/>
  <c r="D346" i="3"/>
  <c r="G346" i="3" s="1"/>
  <c r="J346" i="3" s="1"/>
  <c r="C346" i="3"/>
  <c r="H345" i="3"/>
  <c r="D345" i="3"/>
  <c r="G345" i="3" s="1"/>
  <c r="J345" i="3" s="1"/>
  <c r="C345" i="3"/>
  <c r="H344" i="3"/>
  <c r="D344" i="3"/>
  <c r="G344" i="3" s="1"/>
  <c r="J344" i="3" s="1"/>
  <c r="C344" i="3"/>
  <c r="H343" i="3"/>
  <c r="D343" i="3"/>
  <c r="G343" i="3" s="1"/>
  <c r="J343" i="3" s="1"/>
  <c r="C343" i="3"/>
  <c r="H342" i="3"/>
  <c r="D342" i="3"/>
  <c r="G342" i="3" s="1"/>
  <c r="J342" i="3" s="1"/>
  <c r="C342" i="3"/>
  <c r="H341" i="3"/>
  <c r="D341" i="3"/>
  <c r="G341" i="3" s="1"/>
  <c r="J341" i="3" s="1"/>
  <c r="C341" i="3"/>
  <c r="H340" i="3"/>
  <c r="D340" i="3"/>
  <c r="G340" i="3" s="1"/>
  <c r="J340" i="3" s="1"/>
  <c r="C340" i="3"/>
  <c r="H339" i="3"/>
  <c r="D339" i="3"/>
  <c r="G339" i="3" s="1"/>
  <c r="J339" i="3" s="1"/>
  <c r="C339" i="3"/>
  <c r="H338" i="3"/>
  <c r="D338" i="3"/>
  <c r="G338" i="3" s="1"/>
  <c r="J338" i="3" s="1"/>
  <c r="C338" i="3"/>
  <c r="H337" i="3"/>
  <c r="D337" i="3"/>
  <c r="G337" i="3" s="1"/>
  <c r="J337" i="3" s="1"/>
  <c r="C337" i="3"/>
  <c r="H336" i="3"/>
  <c r="D336" i="3"/>
  <c r="G336" i="3" s="1"/>
  <c r="J336" i="3" s="1"/>
  <c r="C336" i="3"/>
  <c r="H335" i="3"/>
  <c r="D335" i="3"/>
  <c r="G335" i="3" s="1"/>
  <c r="J335" i="3" s="1"/>
  <c r="C335" i="3"/>
  <c r="H334" i="3"/>
  <c r="D334" i="3"/>
  <c r="G334" i="3" s="1"/>
  <c r="J334" i="3" s="1"/>
  <c r="C334" i="3"/>
  <c r="H333" i="3"/>
  <c r="D333" i="3"/>
  <c r="G333" i="3" s="1"/>
  <c r="J333" i="3" s="1"/>
  <c r="C333" i="3"/>
  <c r="H332" i="3"/>
  <c r="D332" i="3"/>
  <c r="G332" i="3" s="1"/>
  <c r="J332" i="3" s="1"/>
  <c r="C332" i="3"/>
  <c r="H331" i="3"/>
  <c r="D331" i="3"/>
  <c r="G331" i="3" s="1"/>
  <c r="J331" i="3" s="1"/>
  <c r="C331" i="3"/>
  <c r="H330" i="3"/>
  <c r="D330" i="3"/>
  <c r="G330" i="3" s="1"/>
  <c r="J330" i="3" s="1"/>
  <c r="C330" i="3"/>
  <c r="H329" i="3"/>
  <c r="D329" i="3"/>
  <c r="G329" i="3" s="1"/>
  <c r="J329" i="3" s="1"/>
  <c r="C329" i="3"/>
  <c r="H328" i="3"/>
  <c r="D328" i="3"/>
  <c r="G328" i="3" s="1"/>
  <c r="J328" i="3" s="1"/>
  <c r="C328" i="3"/>
  <c r="H327" i="3"/>
  <c r="D327" i="3"/>
  <c r="G327" i="3" s="1"/>
  <c r="J327" i="3" s="1"/>
  <c r="C327" i="3"/>
  <c r="H326" i="3"/>
  <c r="D326" i="3"/>
  <c r="G326" i="3" s="1"/>
  <c r="J326" i="3" s="1"/>
  <c r="C326" i="3"/>
  <c r="H325" i="3"/>
  <c r="D325" i="3"/>
  <c r="G325" i="3" s="1"/>
  <c r="J325" i="3" s="1"/>
  <c r="C325" i="3"/>
  <c r="H324" i="3"/>
  <c r="D324" i="3"/>
  <c r="G324" i="3" s="1"/>
  <c r="J324" i="3" s="1"/>
  <c r="C324" i="3"/>
  <c r="H323" i="3"/>
  <c r="D323" i="3"/>
  <c r="G323" i="3" s="1"/>
  <c r="J323" i="3" s="1"/>
  <c r="C323" i="3"/>
  <c r="H322" i="3"/>
  <c r="D322" i="3"/>
  <c r="G322" i="3" s="1"/>
  <c r="J322" i="3" s="1"/>
  <c r="C322" i="3"/>
  <c r="H321" i="3"/>
  <c r="D321" i="3"/>
  <c r="G321" i="3" s="1"/>
  <c r="J321" i="3" s="1"/>
  <c r="C321" i="3"/>
  <c r="H320" i="3"/>
  <c r="D320" i="3"/>
  <c r="G320" i="3" s="1"/>
  <c r="J320" i="3" s="1"/>
  <c r="C320" i="3"/>
  <c r="H319" i="3"/>
  <c r="D319" i="3"/>
  <c r="G319" i="3" s="1"/>
  <c r="J319" i="3" s="1"/>
  <c r="C319" i="3"/>
  <c r="H318" i="3"/>
  <c r="D318" i="3"/>
  <c r="G318" i="3" s="1"/>
  <c r="J318" i="3" s="1"/>
  <c r="C318" i="3"/>
  <c r="H317" i="3"/>
  <c r="D317" i="3"/>
  <c r="G317" i="3" s="1"/>
  <c r="J317" i="3" s="1"/>
  <c r="C317" i="3"/>
  <c r="H316" i="3"/>
  <c r="D316" i="3"/>
  <c r="G316" i="3" s="1"/>
  <c r="J316" i="3" s="1"/>
  <c r="C316" i="3"/>
  <c r="H315" i="3"/>
  <c r="D315" i="3"/>
  <c r="G315" i="3" s="1"/>
  <c r="J315" i="3" s="1"/>
  <c r="C315" i="3"/>
  <c r="H314" i="3"/>
  <c r="D314" i="3"/>
  <c r="G314" i="3" s="1"/>
  <c r="J314" i="3" s="1"/>
  <c r="C314" i="3"/>
  <c r="H313" i="3"/>
  <c r="D313" i="3"/>
  <c r="G313" i="3" s="1"/>
  <c r="J313" i="3" s="1"/>
  <c r="C313" i="3"/>
  <c r="H312" i="3"/>
  <c r="D312" i="3"/>
  <c r="G312" i="3" s="1"/>
  <c r="J312" i="3" s="1"/>
  <c r="C312" i="3"/>
  <c r="H311" i="3"/>
  <c r="D311" i="3"/>
  <c r="G311" i="3" s="1"/>
  <c r="J311" i="3" s="1"/>
  <c r="C311" i="3"/>
  <c r="H310" i="3"/>
  <c r="D310" i="3"/>
  <c r="G310" i="3" s="1"/>
  <c r="J310" i="3" s="1"/>
  <c r="C310" i="3"/>
  <c r="H309" i="3"/>
  <c r="D309" i="3"/>
  <c r="G309" i="3" s="1"/>
  <c r="J309" i="3" s="1"/>
  <c r="C309" i="3"/>
  <c r="H308" i="3"/>
  <c r="D308" i="3"/>
  <c r="G308" i="3" s="1"/>
  <c r="J308" i="3" s="1"/>
  <c r="C308" i="3"/>
  <c r="H307" i="3"/>
  <c r="D307" i="3"/>
  <c r="G307" i="3" s="1"/>
  <c r="J307" i="3" s="1"/>
  <c r="C307" i="3"/>
  <c r="H306" i="3"/>
  <c r="D306" i="3"/>
  <c r="G306" i="3" s="1"/>
  <c r="J306" i="3" s="1"/>
  <c r="C306" i="3"/>
  <c r="H305" i="3"/>
  <c r="D305" i="3"/>
  <c r="G305" i="3" s="1"/>
  <c r="J305" i="3" s="1"/>
  <c r="C305" i="3"/>
  <c r="H304" i="3"/>
  <c r="D304" i="3"/>
  <c r="G304" i="3" s="1"/>
  <c r="J304" i="3" s="1"/>
  <c r="C304" i="3"/>
  <c r="H303" i="3"/>
  <c r="D303" i="3"/>
  <c r="G303" i="3" s="1"/>
  <c r="J303" i="3" s="1"/>
  <c r="C303" i="3"/>
  <c r="H302" i="3"/>
  <c r="D302" i="3"/>
  <c r="G302" i="3" s="1"/>
  <c r="J302" i="3" s="1"/>
  <c r="C302" i="3"/>
  <c r="H301" i="3"/>
  <c r="D301" i="3"/>
  <c r="G301" i="3" s="1"/>
  <c r="J301" i="3" s="1"/>
  <c r="C301" i="3"/>
  <c r="H300" i="3"/>
  <c r="D300" i="3"/>
  <c r="G300" i="3" s="1"/>
  <c r="J300" i="3" s="1"/>
  <c r="C300" i="3"/>
  <c r="H299" i="3"/>
  <c r="D299" i="3"/>
  <c r="G299" i="3" s="1"/>
  <c r="J299" i="3" s="1"/>
  <c r="C299" i="3"/>
  <c r="H298" i="3"/>
  <c r="D298" i="3"/>
  <c r="G298" i="3" s="1"/>
  <c r="J298" i="3" s="1"/>
  <c r="C298" i="3"/>
  <c r="H297" i="3"/>
  <c r="D297" i="3"/>
  <c r="G297" i="3" s="1"/>
  <c r="J297" i="3" s="1"/>
  <c r="C297" i="3"/>
  <c r="H296" i="3"/>
  <c r="D296" i="3"/>
  <c r="G296" i="3" s="1"/>
  <c r="J296" i="3" s="1"/>
  <c r="C296" i="3"/>
  <c r="H295" i="3"/>
  <c r="D295" i="3"/>
  <c r="G295" i="3" s="1"/>
  <c r="J295" i="3" s="1"/>
  <c r="C295" i="3"/>
  <c r="H294" i="3"/>
  <c r="D294" i="3"/>
  <c r="G294" i="3" s="1"/>
  <c r="J294" i="3" s="1"/>
  <c r="C294" i="3"/>
  <c r="H293" i="3"/>
  <c r="D293" i="3"/>
  <c r="G293" i="3" s="1"/>
  <c r="J293" i="3" s="1"/>
  <c r="C293" i="3"/>
  <c r="H292" i="3"/>
  <c r="D292" i="3"/>
  <c r="G292" i="3" s="1"/>
  <c r="J292" i="3" s="1"/>
  <c r="C292" i="3"/>
  <c r="H291" i="3"/>
  <c r="D291" i="3"/>
  <c r="G291" i="3" s="1"/>
  <c r="J291" i="3" s="1"/>
  <c r="C291" i="3"/>
  <c r="H290" i="3"/>
  <c r="D290" i="3"/>
  <c r="G290" i="3" s="1"/>
  <c r="J290" i="3" s="1"/>
  <c r="C290" i="3"/>
  <c r="H289" i="3"/>
  <c r="D289" i="3"/>
  <c r="G289" i="3" s="1"/>
  <c r="J289" i="3" s="1"/>
  <c r="C289" i="3"/>
  <c r="H288" i="3"/>
  <c r="D288" i="3"/>
  <c r="G288" i="3" s="1"/>
  <c r="J288" i="3" s="1"/>
  <c r="C288" i="3"/>
  <c r="H287" i="3"/>
  <c r="D287" i="3"/>
  <c r="G287" i="3" s="1"/>
  <c r="J287" i="3" s="1"/>
  <c r="C287" i="3"/>
  <c r="H286" i="3"/>
  <c r="D286" i="3"/>
  <c r="G286" i="3" s="1"/>
  <c r="J286" i="3" s="1"/>
  <c r="C286" i="3"/>
  <c r="H285" i="3"/>
  <c r="D285" i="3"/>
  <c r="G285" i="3" s="1"/>
  <c r="J285" i="3" s="1"/>
  <c r="C285" i="3"/>
  <c r="H284" i="3"/>
  <c r="D284" i="3"/>
  <c r="G284" i="3" s="1"/>
  <c r="J284" i="3" s="1"/>
  <c r="C284" i="3"/>
  <c r="H283" i="3"/>
  <c r="D283" i="3"/>
  <c r="G283" i="3" s="1"/>
  <c r="J283" i="3" s="1"/>
  <c r="C283" i="3"/>
  <c r="H282" i="3"/>
  <c r="D282" i="3"/>
  <c r="G282" i="3" s="1"/>
  <c r="J282" i="3" s="1"/>
  <c r="C282" i="3"/>
  <c r="H281" i="3"/>
  <c r="D281" i="3"/>
  <c r="G281" i="3" s="1"/>
  <c r="J281" i="3" s="1"/>
  <c r="C281" i="3"/>
  <c r="H280" i="3"/>
  <c r="D280" i="3"/>
  <c r="G280" i="3" s="1"/>
  <c r="J280" i="3" s="1"/>
  <c r="C280" i="3"/>
  <c r="H279" i="3"/>
  <c r="D279" i="3"/>
  <c r="G279" i="3" s="1"/>
  <c r="J279" i="3" s="1"/>
  <c r="C279" i="3"/>
  <c r="H278" i="3"/>
  <c r="D278" i="3"/>
  <c r="G278" i="3" s="1"/>
  <c r="J278" i="3" s="1"/>
  <c r="C278" i="3"/>
  <c r="H277" i="3"/>
  <c r="D277" i="3"/>
  <c r="G277" i="3" s="1"/>
  <c r="J277" i="3" s="1"/>
  <c r="C277" i="3"/>
  <c r="H276" i="3"/>
  <c r="D276" i="3"/>
  <c r="G276" i="3" s="1"/>
  <c r="J276" i="3" s="1"/>
  <c r="C276" i="3"/>
  <c r="H275" i="3"/>
  <c r="D275" i="3"/>
  <c r="G275" i="3" s="1"/>
  <c r="J275" i="3" s="1"/>
  <c r="C275" i="3"/>
  <c r="H274" i="3"/>
  <c r="D274" i="3"/>
  <c r="G274" i="3" s="1"/>
  <c r="J274" i="3" s="1"/>
  <c r="C274" i="3"/>
  <c r="H273" i="3"/>
  <c r="D273" i="3"/>
  <c r="G273" i="3" s="1"/>
  <c r="J273" i="3" s="1"/>
  <c r="C273" i="3"/>
  <c r="H272" i="3"/>
  <c r="D272" i="3"/>
  <c r="G272" i="3" s="1"/>
  <c r="J272" i="3" s="1"/>
  <c r="C272" i="3"/>
  <c r="H271" i="3"/>
  <c r="D271" i="3"/>
  <c r="G271" i="3" s="1"/>
  <c r="J271" i="3" s="1"/>
  <c r="C271" i="3"/>
  <c r="H270" i="3"/>
  <c r="D270" i="3"/>
  <c r="G270" i="3" s="1"/>
  <c r="J270" i="3" s="1"/>
  <c r="C270" i="3"/>
  <c r="H269" i="3"/>
  <c r="D269" i="3"/>
  <c r="G269" i="3" s="1"/>
  <c r="J269" i="3" s="1"/>
  <c r="C269" i="3"/>
  <c r="H268" i="3"/>
  <c r="D268" i="3"/>
  <c r="G268" i="3" s="1"/>
  <c r="J268" i="3" s="1"/>
  <c r="C268" i="3"/>
  <c r="H267" i="3"/>
  <c r="D267" i="3"/>
  <c r="G267" i="3" s="1"/>
  <c r="J267" i="3" s="1"/>
  <c r="C267" i="3"/>
  <c r="H266" i="3"/>
  <c r="D266" i="3"/>
  <c r="G266" i="3" s="1"/>
  <c r="J266" i="3" s="1"/>
  <c r="C266" i="3"/>
  <c r="H265" i="3"/>
  <c r="D265" i="3"/>
  <c r="G265" i="3" s="1"/>
  <c r="J265" i="3" s="1"/>
  <c r="C265" i="3"/>
  <c r="H264" i="3"/>
  <c r="D264" i="3"/>
  <c r="G264" i="3" s="1"/>
  <c r="J264" i="3" s="1"/>
  <c r="C264" i="3"/>
  <c r="H263" i="3"/>
  <c r="D263" i="3"/>
  <c r="G263" i="3" s="1"/>
  <c r="J263" i="3" s="1"/>
  <c r="C263" i="3"/>
  <c r="H262" i="3"/>
  <c r="D262" i="3"/>
  <c r="G262" i="3" s="1"/>
  <c r="J262" i="3" s="1"/>
  <c r="C262" i="3"/>
  <c r="H261" i="3"/>
  <c r="D261" i="3"/>
  <c r="G261" i="3" s="1"/>
  <c r="J261" i="3" s="1"/>
  <c r="C261" i="3"/>
  <c r="H260" i="3"/>
  <c r="D260" i="3"/>
  <c r="G260" i="3" s="1"/>
  <c r="J260" i="3" s="1"/>
  <c r="C260" i="3"/>
  <c r="H259" i="3"/>
  <c r="D259" i="3"/>
  <c r="G259" i="3" s="1"/>
  <c r="J259" i="3" s="1"/>
  <c r="C259" i="3"/>
  <c r="H258" i="3"/>
  <c r="D258" i="3"/>
  <c r="G258" i="3" s="1"/>
  <c r="J258" i="3" s="1"/>
  <c r="C258" i="3"/>
  <c r="H257" i="3"/>
  <c r="D257" i="3"/>
  <c r="G257" i="3" s="1"/>
  <c r="J257" i="3" s="1"/>
  <c r="C257" i="3"/>
  <c r="H256" i="3"/>
  <c r="D256" i="3"/>
  <c r="G256" i="3" s="1"/>
  <c r="J256" i="3" s="1"/>
  <c r="C256" i="3"/>
  <c r="H255" i="3"/>
  <c r="D255" i="3"/>
  <c r="G255" i="3" s="1"/>
  <c r="J255" i="3" s="1"/>
  <c r="C255" i="3"/>
  <c r="H254" i="3"/>
  <c r="D254" i="3"/>
  <c r="G254" i="3" s="1"/>
  <c r="J254" i="3" s="1"/>
  <c r="C254" i="3"/>
  <c r="H253" i="3"/>
  <c r="D253" i="3"/>
  <c r="G253" i="3" s="1"/>
  <c r="J253" i="3" s="1"/>
  <c r="C253" i="3"/>
  <c r="H252" i="3"/>
  <c r="D252" i="3"/>
  <c r="G252" i="3" s="1"/>
  <c r="J252" i="3" s="1"/>
  <c r="C252" i="3"/>
  <c r="H251" i="3"/>
  <c r="D251" i="3"/>
  <c r="G251" i="3" s="1"/>
  <c r="J251" i="3" s="1"/>
  <c r="C251" i="3"/>
  <c r="H250" i="3"/>
  <c r="D250" i="3"/>
  <c r="G250" i="3" s="1"/>
  <c r="J250" i="3" s="1"/>
  <c r="C250" i="3"/>
  <c r="H249" i="3"/>
  <c r="D249" i="3"/>
  <c r="G249" i="3" s="1"/>
  <c r="J249" i="3" s="1"/>
  <c r="C249" i="3"/>
  <c r="H248" i="3"/>
  <c r="D248" i="3"/>
  <c r="G248" i="3" s="1"/>
  <c r="J248" i="3" s="1"/>
  <c r="C248" i="3"/>
  <c r="H247" i="3"/>
  <c r="D247" i="3"/>
  <c r="G247" i="3" s="1"/>
  <c r="J247" i="3" s="1"/>
  <c r="C247" i="3"/>
  <c r="H246" i="3"/>
  <c r="D246" i="3"/>
  <c r="G246" i="3" s="1"/>
  <c r="J246" i="3" s="1"/>
  <c r="C246" i="3"/>
  <c r="H245" i="3"/>
  <c r="D245" i="3"/>
  <c r="G245" i="3" s="1"/>
  <c r="J245" i="3" s="1"/>
  <c r="C245" i="3"/>
  <c r="H244" i="3"/>
  <c r="D244" i="3"/>
  <c r="G244" i="3" s="1"/>
  <c r="J244" i="3" s="1"/>
  <c r="C244" i="3"/>
  <c r="H243" i="3"/>
  <c r="D243" i="3"/>
  <c r="G243" i="3" s="1"/>
  <c r="J243" i="3" s="1"/>
  <c r="C243" i="3"/>
  <c r="H242" i="3"/>
  <c r="D242" i="3"/>
  <c r="G242" i="3" s="1"/>
  <c r="J242" i="3" s="1"/>
  <c r="C242" i="3"/>
  <c r="H241" i="3"/>
  <c r="D241" i="3"/>
  <c r="G241" i="3" s="1"/>
  <c r="J241" i="3" s="1"/>
  <c r="C241" i="3"/>
  <c r="H240" i="3"/>
  <c r="D240" i="3"/>
  <c r="G240" i="3" s="1"/>
  <c r="J240" i="3" s="1"/>
  <c r="C240" i="3"/>
  <c r="H239" i="3"/>
  <c r="D239" i="3"/>
  <c r="G239" i="3" s="1"/>
  <c r="J239" i="3" s="1"/>
  <c r="C239" i="3"/>
  <c r="H238" i="3"/>
  <c r="D238" i="3"/>
  <c r="G238" i="3" s="1"/>
  <c r="J238" i="3" s="1"/>
  <c r="C238" i="3"/>
  <c r="H237" i="3"/>
  <c r="D237" i="3"/>
  <c r="G237" i="3" s="1"/>
  <c r="J237" i="3" s="1"/>
  <c r="C237" i="3"/>
  <c r="H236" i="3"/>
  <c r="D236" i="3"/>
  <c r="G236" i="3" s="1"/>
  <c r="J236" i="3" s="1"/>
  <c r="C236" i="3"/>
  <c r="H235" i="3"/>
  <c r="D235" i="3"/>
  <c r="G235" i="3" s="1"/>
  <c r="J235" i="3" s="1"/>
  <c r="C235" i="3"/>
  <c r="H234" i="3"/>
  <c r="D234" i="3"/>
  <c r="G234" i="3" s="1"/>
  <c r="J234" i="3" s="1"/>
  <c r="C234" i="3"/>
  <c r="H233" i="3"/>
  <c r="D233" i="3"/>
  <c r="G233" i="3" s="1"/>
  <c r="J233" i="3" s="1"/>
  <c r="C233" i="3"/>
  <c r="H232" i="3"/>
  <c r="D232" i="3"/>
  <c r="G232" i="3" s="1"/>
  <c r="J232" i="3" s="1"/>
  <c r="C232" i="3"/>
  <c r="H231" i="3"/>
  <c r="D231" i="3"/>
  <c r="G231" i="3" s="1"/>
  <c r="J231" i="3" s="1"/>
  <c r="C231" i="3"/>
  <c r="H230" i="3"/>
  <c r="D230" i="3"/>
  <c r="G230" i="3" s="1"/>
  <c r="J230" i="3" s="1"/>
  <c r="C230" i="3"/>
  <c r="H229" i="3"/>
  <c r="D229" i="3"/>
  <c r="G229" i="3" s="1"/>
  <c r="J229" i="3" s="1"/>
  <c r="C229" i="3"/>
  <c r="H228" i="3"/>
  <c r="D228" i="3"/>
  <c r="G228" i="3" s="1"/>
  <c r="J228" i="3" s="1"/>
  <c r="C228" i="3"/>
  <c r="H227" i="3"/>
  <c r="D227" i="3"/>
  <c r="G227" i="3" s="1"/>
  <c r="J227" i="3" s="1"/>
  <c r="C227" i="3"/>
  <c r="H226" i="3"/>
  <c r="D226" i="3"/>
  <c r="G226" i="3" s="1"/>
  <c r="J226" i="3" s="1"/>
  <c r="C226" i="3"/>
  <c r="H225" i="3"/>
  <c r="D225" i="3"/>
  <c r="G225" i="3" s="1"/>
  <c r="J225" i="3" s="1"/>
  <c r="C225" i="3"/>
  <c r="H224" i="3"/>
  <c r="D224" i="3"/>
  <c r="G224" i="3" s="1"/>
  <c r="J224" i="3" s="1"/>
  <c r="C224" i="3"/>
  <c r="H223" i="3"/>
  <c r="D223" i="3"/>
  <c r="G223" i="3" s="1"/>
  <c r="J223" i="3" s="1"/>
  <c r="C223" i="3"/>
  <c r="H222" i="3"/>
  <c r="D222" i="3"/>
  <c r="G222" i="3" s="1"/>
  <c r="J222" i="3" s="1"/>
  <c r="C222" i="3"/>
  <c r="H221" i="3"/>
  <c r="D221" i="3"/>
  <c r="G221" i="3" s="1"/>
  <c r="J221" i="3" s="1"/>
  <c r="C221" i="3"/>
  <c r="H220" i="3"/>
  <c r="D220" i="3"/>
  <c r="G220" i="3" s="1"/>
  <c r="J220" i="3" s="1"/>
  <c r="C220" i="3"/>
  <c r="H219" i="3"/>
  <c r="D219" i="3"/>
  <c r="G219" i="3" s="1"/>
  <c r="J219" i="3" s="1"/>
  <c r="C219" i="3"/>
  <c r="H218" i="3"/>
  <c r="D218" i="3"/>
  <c r="G218" i="3" s="1"/>
  <c r="J218" i="3" s="1"/>
  <c r="C218" i="3"/>
  <c r="H217" i="3"/>
  <c r="D217" i="3"/>
  <c r="G217" i="3" s="1"/>
  <c r="J217" i="3" s="1"/>
  <c r="C217" i="3"/>
  <c r="H216" i="3"/>
  <c r="D216" i="3"/>
  <c r="G216" i="3" s="1"/>
  <c r="J216" i="3" s="1"/>
  <c r="C216" i="3"/>
  <c r="H215" i="3"/>
  <c r="D215" i="3"/>
  <c r="G215" i="3" s="1"/>
  <c r="J215" i="3" s="1"/>
  <c r="C215" i="3"/>
  <c r="H214" i="3"/>
  <c r="D214" i="3"/>
  <c r="G214" i="3" s="1"/>
  <c r="J214" i="3" s="1"/>
  <c r="C214" i="3"/>
  <c r="H213" i="3"/>
  <c r="D213" i="3"/>
  <c r="G213" i="3" s="1"/>
  <c r="J213" i="3" s="1"/>
  <c r="C213" i="3"/>
  <c r="H212" i="3"/>
  <c r="D212" i="3"/>
  <c r="G212" i="3" s="1"/>
  <c r="J212" i="3" s="1"/>
  <c r="C212" i="3"/>
  <c r="H211" i="3"/>
  <c r="D211" i="3"/>
  <c r="G211" i="3" s="1"/>
  <c r="J211" i="3" s="1"/>
  <c r="C211" i="3"/>
  <c r="H210" i="3"/>
  <c r="D210" i="3"/>
  <c r="G210" i="3" s="1"/>
  <c r="J210" i="3" s="1"/>
  <c r="C210" i="3"/>
  <c r="H209" i="3"/>
  <c r="D209" i="3"/>
  <c r="G209" i="3" s="1"/>
  <c r="J209" i="3" s="1"/>
  <c r="C209" i="3"/>
  <c r="H208" i="3"/>
  <c r="D208" i="3"/>
  <c r="G208" i="3" s="1"/>
  <c r="J208" i="3" s="1"/>
  <c r="C208" i="3"/>
  <c r="H207" i="3"/>
  <c r="D207" i="3"/>
  <c r="G207" i="3" s="1"/>
  <c r="J207" i="3" s="1"/>
  <c r="C207" i="3"/>
  <c r="H206" i="3"/>
  <c r="D206" i="3"/>
  <c r="G206" i="3" s="1"/>
  <c r="J206" i="3" s="1"/>
  <c r="C206" i="3"/>
  <c r="H205" i="3"/>
  <c r="D205" i="3"/>
  <c r="G205" i="3" s="1"/>
  <c r="J205" i="3" s="1"/>
  <c r="C205" i="3"/>
  <c r="H204" i="3"/>
  <c r="D204" i="3"/>
  <c r="G204" i="3" s="1"/>
  <c r="J204" i="3" s="1"/>
  <c r="C204" i="3"/>
  <c r="H203" i="3"/>
  <c r="D203" i="3"/>
  <c r="G203" i="3" s="1"/>
  <c r="J203" i="3" s="1"/>
  <c r="C203" i="3"/>
  <c r="H202" i="3"/>
  <c r="D202" i="3"/>
  <c r="G202" i="3" s="1"/>
  <c r="J202" i="3" s="1"/>
  <c r="C202" i="3"/>
  <c r="H201" i="3"/>
  <c r="D201" i="3"/>
  <c r="G201" i="3" s="1"/>
  <c r="J201" i="3" s="1"/>
  <c r="C201" i="3"/>
  <c r="H200" i="3"/>
  <c r="D200" i="3"/>
  <c r="G200" i="3" s="1"/>
  <c r="J200" i="3" s="1"/>
  <c r="C200" i="3"/>
  <c r="H199" i="3"/>
  <c r="D199" i="3"/>
  <c r="G199" i="3" s="1"/>
  <c r="J199" i="3" s="1"/>
  <c r="C199" i="3"/>
  <c r="H198" i="3"/>
  <c r="D198" i="3"/>
  <c r="G198" i="3" s="1"/>
  <c r="J198" i="3" s="1"/>
  <c r="C198" i="3"/>
  <c r="H197" i="3"/>
  <c r="D197" i="3"/>
  <c r="G197" i="3" s="1"/>
  <c r="J197" i="3" s="1"/>
  <c r="C197" i="3"/>
  <c r="H196" i="3"/>
  <c r="D196" i="3"/>
  <c r="G196" i="3" s="1"/>
  <c r="J196" i="3" s="1"/>
  <c r="C196" i="3"/>
  <c r="H195" i="3"/>
  <c r="D195" i="3"/>
  <c r="G195" i="3" s="1"/>
  <c r="J195" i="3" s="1"/>
  <c r="C195" i="3"/>
  <c r="H194" i="3"/>
  <c r="D194" i="3"/>
  <c r="G194" i="3" s="1"/>
  <c r="J194" i="3" s="1"/>
  <c r="C194" i="3"/>
  <c r="H193" i="3"/>
  <c r="D193" i="3"/>
  <c r="G193" i="3" s="1"/>
  <c r="J193" i="3" s="1"/>
  <c r="C193" i="3"/>
  <c r="H192" i="3"/>
  <c r="D192" i="3"/>
  <c r="G192" i="3" s="1"/>
  <c r="J192" i="3" s="1"/>
  <c r="C192" i="3"/>
  <c r="H191" i="3"/>
  <c r="D191" i="3"/>
  <c r="G191" i="3" s="1"/>
  <c r="J191" i="3" s="1"/>
  <c r="C191" i="3"/>
  <c r="H190" i="3"/>
  <c r="D190" i="3"/>
  <c r="G190" i="3" s="1"/>
  <c r="J190" i="3" s="1"/>
  <c r="C190" i="3"/>
  <c r="H189" i="3"/>
  <c r="D189" i="3"/>
  <c r="G189" i="3" s="1"/>
  <c r="J189" i="3" s="1"/>
  <c r="C189" i="3"/>
  <c r="H188" i="3"/>
  <c r="D188" i="3"/>
  <c r="G188" i="3" s="1"/>
  <c r="J188" i="3" s="1"/>
  <c r="C188" i="3"/>
  <c r="H187" i="3"/>
  <c r="D187" i="3"/>
  <c r="G187" i="3" s="1"/>
  <c r="J187" i="3" s="1"/>
  <c r="C187" i="3"/>
  <c r="H186" i="3"/>
  <c r="D186" i="3"/>
  <c r="G186" i="3" s="1"/>
  <c r="J186" i="3" s="1"/>
  <c r="C186" i="3"/>
  <c r="H185" i="3"/>
  <c r="D185" i="3"/>
  <c r="G185" i="3" s="1"/>
  <c r="J185" i="3" s="1"/>
  <c r="C185" i="3"/>
  <c r="H184" i="3"/>
  <c r="D184" i="3"/>
  <c r="G184" i="3" s="1"/>
  <c r="J184" i="3" s="1"/>
  <c r="C184" i="3"/>
  <c r="H183" i="3"/>
  <c r="D183" i="3"/>
  <c r="G183" i="3" s="1"/>
  <c r="J183" i="3" s="1"/>
  <c r="C183" i="3"/>
  <c r="H182" i="3"/>
  <c r="D182" i="3"/>
  <c r="G182" i="3" s="1"/>
  <c r="J182" i="3" s="1"/>
  <c r="C182" i="3"/>
  <c r="H181" i="3"/>
  <c r="D181" i="3"/>
  <c r="G181" i="3" s="1"/>
  <c r="J181" i="3" s="1"/>
  <c r="C181" i="3"/>
  <c r="H180" i="3"/>
  <c r="D180" i="3"/>
  <c r="G180" i="3" s="1"/>
  <c r="J180" i="3" s="1"/>
  <c r="C180" i="3"/>
  <c r="H179" i="3"/>
  <c r="D179" i="3"/>
  <c r="G179" i="3" s="1"/>
  <c r="J179" i="3" s="1"/>
  <c r="C179" i="3"/>
  <c r="H178" i="3"/>
  <c r="D178" i="3"/>
  <c r="G178" i="3" s="1"/>
  <c r="J178" i="3" s="1"/>
  <c r="C178" i="3"/>
  <c r="H177" i="3"/>
  <c r="D177" i="3"/>
  <c r="G177" i="3" s="1"/>
  <c r="J177" i="3" s="1"/>
  <c r="C177" i="3"/>
  <c r="H176" i="3"/>
  <c r="D176" i="3"/>
  <c r="G176" i="3" s="1"/>
  <c r="J176" i="3" s="1"/>
  <c r="C176" i="3"/>
  <c r="H175" i="3"/>
  <c r="D175" i="3"/>
  <c r="G175" i="3" s="1"/>
  <c r="J175" i="3" s="1"/>
  <c r="C175" i="3"/>
  <c r="H174" i="3"/>
  <c r="D174" i="3"/>
  <c r="G174" i="3" s="1"/>
  <c r="J174" i="3" s="1"/>
  <c r="C174" i="3"/>
  <c r="H173" i="3"/>
  <c r="D173" i="3"/>
  <c r="G173" i="3" s="1"/>
  <c r="J173" i="3" s="1"/>
  <c r="C173" i="3"/>
  <c r="H172" i="3"/>
  <c r="D172" i="3"/>
  <c r="G172" i="3" s="1"/>
  <c r="J172" i="3" s="1"/>
  <c r="C172" i="3"/>
  <c r="H171" i="3"/>
  <c r="D171" i="3"/>
  <c r="G171" i="3" s="1"/>
  <c r="J171" i="3" s="1"/>
  <c r="C171" i="3"/>
  <c r="H170" i="3"/>
  <c r="D170" i="3"/>
  <c r="G170" i="3" s="1"/>
  <c r="J170" i="3" s="1"/>
  <c r="C170" i="3"/>
  <c r="H169" i="3"/>
  <c r="D169" i="3"/>
  <c r="G169" i="3" s="1"/>
  <c r="J169" i="3" s="1"/>
  <c r="C169" i="3"/>
  <c r="H168" i="3"/>
  <c r="D168" i="3"/>
  <c r="G168" i="3" s="1"/>
  <c r="J168" i="3" s="1"/>
  <c r="C168" i="3"/>
  <c r="H167" i="3"/>
  <c r="D167" i="3"/>
  <c r="G167" i="3" s="1"/>
  <c r="J167" i="3" s="1"/>
  <c r="C167" i="3"/>
  <c r="H166" i="3"/>
  <c r="D166" i="3"/>
  <c r="G166" i="3" s="1"/>
  <c r="J166" i="3" s="1"/>
  <c r="C166" i="3"/>
  <c r="H165" i="3"/>
  <c r="D165" i="3"/>
  <c r="G165" i="3" s="1"/>
  <c r="J165" i="3" s="1"/>
  <c r="C165" i="3"/>
  <c r="H164" i="3"/>
  <c r="D164" i="3"/>
  <c r="G164" i="3" s="1"/>
  <c r="J164" i="3" s="1"/>
  <c r="C164" i="3"/>
  <c r="H163" i="3"/>
  <c r="D163" i="3"/>
  <c r="G163" i="3" s="1"/>
  <c r="J163" i="3" s="1"/>
  <c r="C163" i="3"/>
  <c r="H162" i="3"/>
  <c r="D162" i="3"/>
  <c r="G162" i="3" s="1"/>
  <c r="J162" i="3" s="1"/>
  <c r="C162" i="3"/>
  <c r="H161" i="3"/>
  <c r="D161" i="3"/>
  <c r="G161" i="3" s="1"/>
  <c r="J161" i="3" s="1"/>
  <c r="C161" i="3"/>
  <c r="H160" i="3"/>
  <c r="D160" i="3"/>
  <c r="G160" i="3" s="1"/>
  <c r="J160" i="3" s="1"/>
  <c r="C160" i="3"/>
  <c r="H159" i="3"/>
  <c r="D159" i="3"/>
  <c r="G159" i="3" s="1"/>
  <c r="J159" i="3" s="1"/>
  <c r="C159" i="3"/>
  <c r="H158" i="3"/>
  <c r="D158" i="3"/>
  <c r="G158" i="3" s="1"/>
  <c r="J158" i="3" s="1"/>
  <c r="C158" i="3"/>
  <c r="H157" i="3"/>
  <c r="D157" i="3"/>
  <c r="G157" i="3" s="1"/>
  <c r="J157" i="3" s="1"/>
  <c r="C157" i="3"/>
  <c r="H156" i="3"/>
  <c r="D156" i="3"/>
  <c r="G156" i="3" s="1"/>
  <c r="J156" i="3" s="1"/>
  <c r="C156" i="3"/>
  <c r="H155" i="3"/>
  <c r="D155" i="3"/>
  <c r="G155" i="3" s="1"/>
  <c r="J155" i="3" s="1"/>
  <c r="C155" i="3"/>
  <c r="H154" i="3"/>
  <c r="D154" i="3"/>
  <c r="G154" i="3" s="1"/>
  <c r="J154" i="3" s="1"/>
  <c r="C154" i="3"/>
  <c r="H153" i="3"/>
  <c r="D153" i="3"/>
  <c r="G153" i="3" s="1"/>
  <c r="J153" i="3" s="1"/>
  <c r="C153" i="3"/>
  <c r="H152" i="3"/>
  <c r="D152" i="3"/>
  <c r="G152" i="3" s="1"/>
  <c r="J152" i="3" s="1"/>
  <c r="C152" i="3"/>
  <c r="H151" i="3"/>
  <c r="D151" i="3"/>
  <c r="G151" i="3" s="1"/>
  <c r="J151" i="3" s="1"/>
  <c r="C151" i="3"/>
  <c r="H150" i="3"/>
  <c r="D150" i="3"/>
  <c r="G150" i="3" s="1"/>
  <c r="J150" i="3" s="1"/>
  <c r="C150" i="3"/>
  <c r="H149" i="3"/>
  <c r="D149" i="3"/>
  <c r="G149" i="3" s="1"/>
  <c r="J149" i="3" s="1"/>
  <c r="C149" i="3"/>
  <c r="H148" i="3"/>
  <c r="D148" i="3"/>
  <c r="G148" i="3" s="1"/>
  <c r="J148" i="3" s="1"/>
  <c r="C148" i="3"/>
  <c r="H147" i="3"/>
  <c r="D147" i="3"/>
  <c r="G147" i="3" s="1"/>
  <c r="J147" i="3" s="1"/>
  <c r="C147" i="3"/>
  <c r="H146" i="3"/>
  <c r="D146" i="3"/>
  <c r="G146" i="3" s="1"/>
  <c r="J146" i="3" s="1"/>
  <c r="C146" i="3"/>
  <c r="H145" i="3"/>
  <c r="D145" i="3"/>
  <c r="G145" i="3" s="1"/>
  <c r="J145" i="3" s="1"/>
  <c r="C145" i="3"/>
  <c r="H144" i="3"/>
  <c r="D144" i="3"/>
  <c r="G144" i="3" s="1"/>
  <c r="J144" i="3" s="1"/>
  <c r="C144" i="3"/>
  <c r="H143" i="3"/>
  <c r="D143" i="3"/>
  <c r="G143" i="3" s="1"/>
  <c r="J143" i="3" s="1"/>
  <c r="C143" i="3"/>
  <c r="H142" i="3"/>
  <c r="D142" i="3"/>
  <c r="G142" i="3" s="1"/>
  <c r="J142" i="3" s="1"/>
  <c r="C142" i="3"/>
  <c r="H141" i="3"/>
  <c r="D141" i="3"/>
  <c r="G141" i="3" s="1"/>
  <c r="J141" i="3" s="1"/>
  <c r="C141" i="3"/>
  <c r="H140" i="3"/>
  <c r="D140" i="3"/>
  <c r="G140" i="3" s="1"/>
  <c r="J140" i="3" s="1"/>
  <c r="C140" i="3"/>
  <c r="H139" i="3"/>
  <c r="D139" i="3"/>
  <c r="G139" i="3" s="1"/>
  <c r="J139" i="3" s="1"/>
  <c r="C139" i="3"/>
  <c r="H138" i="3"/>
  <c r="G138" i="3"/>
  <c r="J138" i="3" s="1"/>
  <c r="D138" i="3"/>
  <c r="C138" i="3"/>
  <c r="H137" i="3"/>
  <c r="G137" i="3"/>
  <c r="J137" i="3" s="1"/>
  <c r="D137" i="3"/>
  <c r="C137" i="3"/>
  <c r="H136" i="3"/>
  <c r="G136" i="3"/>
  <c r="J136" i="3" s="1"/>
  <c r="D136" i="3"/>
  <c r="C136" i="3"/>
  <c r="H135" i="3"/>
  <c r="G135" i="3"/>
  <c r="J135" i="3" s="1"/>
  <c r="D135" i="3"/>
  <c r="C135" i="3"/>
  <c r="H134" i="3"/>
  <c r="G134" i="3"/>
  <c r="J134" i="3" s="1"/>
  <c r="D134" i="3"/>
  <c r="C134" i="3"/>
  <c r="H133" i="3"/>
  <c r="G133" i="3"/>
  <c r="J133" i="3" s="1"/>
  <c r="D133" i="3"/>
  <c r="C133" i="3"/>
  <c r="H132" i="3"/>
  <c r="G132" i="3"/>
  <c r="J132" i="3" s="1"/>
  <c r="D132" i="3"/>
  <c r="C132" i="3"/>
  <c r="H131" i="3"/>
  <c r="G131" i="3"/>
  <c r="J131" i="3" s="1"/>
  <c r="D131" i="3"/>
  <c r="C131" i="3"/>
  <c r="H130" i="3"/>
  <c r="G130" i="3"/>
  <c r="J130" i="3" s="1"/>
  <c r="D130" i="3"/>
  <c r="C130" i="3"/>
  <c r="H129" i="3"/>
  <c r="G129" i="3"/>
  <c r="J129" i="3" s="1"/>
  <c r="D129" i="3"/>
  <c r="C129" i="3"/>
  <c r="H128" i="3"/>
  <c r="G128" i="3"/>
  <c r="J128" i="3" s="1"/>
  <c r="D128" i="3"/>
  <c r="C128" i="3"/>
  <c r="H127" i="3"/>
  <c r="G127" i="3"/>
  <c r="J127" i="3" s="1"/>
  <c r="D127" i="3"/>
  <c r="C127" i="3"/>
  <c r="H126" i="3"/>
  <c r="G126" i="3"/>
  <c r="J126" i="3" s="1"/>
  <c r="D126" i="3"/>
  <c r="C126" i="3"/>
  <c r="H125" i="3"/>
  <c r="G125" i="3"/>
  <c r="J125" i="3" s="1"/>
  <c r="D125" i="3"/>
  <c r="C125" i="3"/>
  <c r="H124" i="3"/>
  <c r="G124" i="3"/>
  <c r="J124" i="3" s="1"/>
  <c r="D124" i="3"/>
  <c r="C124" i="3"/>
  <c r="H123" i="3"/>
  <c r="G123" i="3"/>
  <c r="J123" i="3" s="1"/>
  <c r="D123" i="3"/>
  <c r="C123" i="3"/>
  <c r="H122" i="3"/>
  <c r="G122" i="3"/>
  <c r="J122" i="3" s="1"/>
  <c r="D122" i="3"/>
  <c r="C122" i="3"/>
  <c r="H121" i="3"/>
  <c r="G121" i="3"/>
  <c r="J121" i="3" s="1"/>
  <c r="D121" i="3"/>
  <c r="C121" i="3"/>
  <c r="H120" i="3"/>
  <c r="G120" i="3"/>
  <c r="J120" i="3" s="1"/>
  <c r="D120" i="3"/>
  <c r="C120" i="3"/>
  <c r="H119" i="3"/>
  <c r="G119" i="3"/>
  <c r="J119" i="3" s="1"/>
  <c r="D119" i="3"/>
  <c r="C119" i="3"/>
  <c r="H118" i="3"/>
  <c r="G118" i="3"/>
  <c r="J118" i="3" s="1"/>
  <c r="D118" i="3"/>
  <c r="C118" i="3"/>
  <c r="H117" i="3"/>
  <c r="G117" i="3"/>
  <c r="J117" i="3" s="1"/>
  <c r="D117" i="3"/>
  <c r="C117" i="3"/>
  <c r="H116" i="3"/>
  <c r="G116" i="3"/>
  <c r="J116" i="3" s="1"/>
  <c r="D116" i="3"/>
  <c r="C116" i="3"/>
  <c r="H115" i="3"/>
  <c r="G115" i="3"/>
  <c r="J115" i="3" s="1"/>
  <c r="D115" i="3"/>
  <c r="C115" i="3"/>
  <c r="H114" i="3"/>
  <c r="G114" i="3"/>
  <c r="J114" i="3" s="1"/>
  <c r="D114" i="3"/>
  <c r="C114" i="3"/>
  <c r="H113" i="3"/>
  <c r="G113" i="3"/>
  <c r="J113" i="3" s="1"/>
  <c r="D113" i="3"/>
  <c r="C113" i="3"/>
  <c r="H112" i="3"/>
  <c r="G112" i="3"/>
  <c r="J112" i="3" s="1"/>
  <c r="D112" i="3"/>
  <c r="C112" i="3"/>
  <c r="H111" i="3"/>
  <c r="G111" i="3"/>
  <c r="J111" i="3" s="1"/>
  <c r="D111" i="3"/>
  <c r="C111" i="3"/>
  <c r="H110" i="3"/>
  <c r="G110" i="3"/>
  <c r="J110" i="3" s="1"/>
  <c r="D110" i="3"/>
  <c r="C110" i="3"/>
  <c r="H109" i="3"/>
  <c r="G109" i="3"/>
  <c r="J109" i="3" s="1"/>
  <c r="D109" i="3"/>
  <c r="C109" i="3"/>
  <c r="H108" i="3"/>
  <c r="G108" i="3"/>
  <c r="J108" i="3" s="1"/>
  <c r="D108" i="3"/>
  <c r="C108" i="3"/>
  <c r="H107" i="3"/>
  <c r="G107" i="3"/>
  <c r="J107" i="3" s="1"/>
  <c r="D107" i="3"/>
  <c r="C107" i="3"/>
  <c r="H106" i="3"/>
  <c r="G106" i="3"/>
  <c r="J106" i="3" s="1"/>
  <c r="D106" i="3"/>
  <c r="C106" i="3"/>
  <c r="H105" i="3"/>
  <c r="G105" i="3"/>
  <c r="J105" i="3" s="1"/>
  <c r="D105" i="3"/>
  <c r="C105" i="3"/>
  <c r="H104" i="3"/>
  <c r="G104" i="3"/>
  <c r="J104" i="3" s="1"/>
  <c r="D104" i="3"/>
  <c r="C104" i="3"/>
  <c r="H103" i="3"/>
  <c r="G103" i="3"/>
  <c r="J103" i="3" s="1"/>
  <c r="D103" i="3"/>
  <c r="C103" i="3"/>
  <c r="H102" i="3"/>
  <c r="G102" i="3"/>
  <c r="J102" i="3" s="1"/>
  <c r="D102" i="3"/>
  <c r="C102" i="3"/>
  <c r="H101" i="3"/>
  <c r="G101" i="3"/>
  <c r="J101" i="3" s="1"/>
  <c r="D101" i="3"/>
  <c r="C101" i="3"/>
  <c r="H100" i="3"/>
  <c r="G100" i="3"/>
  <c r="J100" i="3" s="1"/>
  <c r="D100" i="3"/>
  <c r="C100" i="3"/>
  <c r="H99" i="3"/>
  <c r="G99" i="3"/>
  <c r="J99" i="3" s="1"/>
  <c r="D99" i="3"/>
  <c r="C99" i="3"/>
  <c r="H98" i="3"/>
  <c r="G98" i="3"/>
  <c r="J98" i="3" s="1"/>
  <c r="D98" i="3"/>
  <c r="C98" i="3"/>
  <c r="H97" i="3"/>
  <c r="G97" i="3"/>
  <c r="J97" i="3" s="1"/>
  <c r="D97" i="3"/>
  <c r="C97" i="3"/>
  <c r="H96" i="3"/>
  <c r="G96" i="3"/>
  <c r="J96" i="3" s="1"/>
  <c r="D96" i="3"/>
  <c r="C96" i="3"/>
  <c r="H95" i="3"/>
  <c r="G95" i="3"/>
  <c r="J95" i="3" s="1"/>
  <c r="D95" i="3"/>
  <c r="C95" i="3"/>
  <c r="H94" i="3"/>
  <c r="G94" i="3"/>
  <c r="J94" i="3" s="1"/>
  <c r="D94" i="3"/>
  <c r="C94" i="3"/>
  <c r="H93" i="3"/>
  <c r="G93" i="3"/>
  <c r="J93" i="3" s="1"/>
  <c r="D93" i="3"/>
  <c r="C93" i="3"/>
  <c r="H92" i="3"/>
  <c r="G92" i="3"/>
  <c r="J92" i="3" s="1"/>
  <c r="D92" i="3"/>
  <c r="C92" i="3"/>
  <c r="H91" i="3"/>
  <c r="G91" i="3"/>
  <c r="J91" i="3" s="1"/>
  <c r="D91" i="3"/>
  <c r="C91" i="3"/>
  <c r="H90" i="3"/>
  <c r="G90" i="3"/>
  <c r="J90" i="3" s="1"/>
  <c r="D90" i="3"/>
  <c r="C90" i="3"/>
  <c r="H89" i="3"/>
  <c r="G89" i="3"/>
  <c r="J89" i="3" s="1"/>
  <c r="D89" i="3"/>
  <c r="C89" i="3"/>
  <c r="H88" i="3"/>
  <c r="G88" i="3"/>
  <c r="J88" i="3" s="1"/>
  <c r="D88" i="3"/>
  <c r="C88" i="3"/>
  <c r="H87" i="3"/>
  <c r="G87" i="3"/>
  <c r="J87" i="3" s="1"/>
  <c r="D87" i="3"/>
  <c r="C87" i="3"/>
  <c r="H86" i="3"/>
  <c r="G86" i="3"/>
  <c r="J86" i="3" s="1"/>
  <c r="D86" i="3"/>
  <c r="C86" i="3"/>
  <c r="H85" i="3"/>
  <c r="G85" i="3"/>
  <c r="J85" i="3" s="1"/>
  <c r="D85" i="3"/>
  <c r="C85" i="3"/>
  <c r="H84" i="3"/>
  <c r="G84" i="3"/>
  <c r="J84" i="3" s="1"/>
  <c r="D84" i="3"/>
  <c r="C84" i="3"/>
  <c r="H83" i="3"/>
  <c r="G83" i="3"/>
  <c r="J83" i="3" s="1"/>
  <c r="D83" i="3"/>
  <c r="C83" i="3"/>
  <c r="H82" i="3"/>
  <c r="G82" i="3"/>
  <c r="J82" i="3" s="1"/>
  <c r="D82" i="3"/>
  <c r="C82" i="3"/>
  <c r="H81" i="3"/>
  <c r="G81" i="3"/>
  <c r="J81" i="3" s="1"/>
  <c r="D81" i="3"/>
  <c r="C81" i="3"/>
  <c r="H80" i="3"/>
  <c r="G80" i="3"/>
  <c r="J80" i="3" s="1"/>
  <c r="D80" i="3"/>
  <c r="C80" i="3"/>
  <c r="H79" i="3"/>
  <c r="G79" i="3"/>
  <c r="J79" i="3" s="1"/>
  <c r="D79" i="3"/>
  <c r="C79" i="3"/>
  <c r="H78" i="3"/>
  <c r="G78" i="3"/>
  <c r="J78" i="3" s="1"/>
  <c r="D78" i="3"/>
  <c r="C78" i="3"/>
  <c r="H77" i="3"/>
  <c r="G77" i="3"/>
  <c r="J77" i="3" s="1"/>
  <c r="D77" i="3"/>
  <c r="C77" i="3"/>
  <c r="H76" i="3"/>
  <c r="G76" i="3"/>
  <c r="J76" i="3" s="1"/>
  <c r="D76" i="3"/>
  <c r="C76" i="3"/>
  <c r="H75" i="3"/>
  <c r="G75" i="3"/>
  <c r="J75" i="3" s="1"/>
  <c r="D75" i="3"/>
  <c r="C75" i="3"/>
  <c r="H74" i="3"/>
  <c r="G74" i="3"/>
  <c r="J74" i="3" s="1"/>
  <c r="D74" i="3"/>
  <c r="C74" i="3"/>
  <c r="H73" i="3"/>
  <c r="G73" i="3"/>
  <c r="J73" i="3" s="1"/>
  <c r="D73" i="3"/>
  <c r="C73" i="3"/>
  <c r="H72" i="3"/>
  <c r="G72" i="3"/>
  <c r="J72" i="3" s="1"/>
  <c r="D72" i="3"/>
  <c r="C72" i="3"/>
  <c r="H71" i="3"/>
  <c r="G71" i="3"/>
  <c r="J71" i="3" s="1"/>
  <c r="D71" i="3"/>
  <c r="C71" i="3"/>
  <c r="H70" i="3"/>
  <c r="G70" i="3"/>
  <c r="J70" i="3" s="1"/>
  <c r="D70" i="3"/>
  <c r="C70" i="3"/>
  <c r="H69" i="3"/>
  <c r="G69" i="3"/>
  <c r="J69" i="3" s="1"/>
  <c r="D69" i="3"/>
  <c r="C69" i="3"/>
  <c r="H68" i="3"/>
  <c r="G68" i="3"/>
  <c r="J68" i="3" s="1"/>
  <c r="D68" i="3"/>
  <c r="C68" i="3"/>
  <c r="H67" i="3"/>
  <c r="G67" i="3"/>
  <c r="J67" i="3" s="1"/>
  <c r="D67" i="3"/>
  <c r="C67" i="3"/>
  <c r="H66" i="3"/>
  <c r="G66" i="3"/>
  <c r="J66" i="3" s="1"/>
  <c r="D66" i="3"/>
  <c r="C66" i="3"/>
  <c r="H65" i="3"/>
  <c r="G65" i="3"/>
  <c r="J65" i="3" s="1"/>
  <c r="D65" i="3"/>
  <c r="C65" i="3"/>
  <c r="H64" i="3"/>
  <c r="G64" i="3"/>
  <c r="J64" i="3" s="1"/>
  <c r="D64" i="3"/>
  <c r="C64" i="3"/>
  <c r="H63" i="3"/>
  <c r="G63" i="3"/>
  <c r="J63" i="3" s="1"/>
  <c r="D63" i="3"/>
  <c r="C63" i="3"/>
  <c r="H62" i="3"/>
  <c r="G62" i="3"/>
  <c r="J62" i="3" s="1"/>
  <c r="D62" i="3"/>
  <c r="C62" i="3"/>
  <c r="H61" i="3"/>
  <c r="G61" i="3"/>
  <c r="J61" i="3" s="1"/>
  <c r="D61" i="3"/>
  <c r="C61" i="3"/>
  <c r="H60" i="3"/>
  <c r="G60" i="3"/>
  <c r="J60" i="3" s="1"/>
  <c r="D60" i="3"/>
  <c r="C60" i="3"/>
  <c r="H59" i="3"/>
  <c r="G59" i="3"/>
  <c r="J59" i="3" s="1"/>
  <c r="D59" i="3"/>
  <c r="C59" i="3"/>
  <c r="H58" i="3"/>
  <c r="G58" i="3"/>
  <c r="J58" i="3" s="1"/>
  <c r="D58" i="3"/>
  <c r="C58" i="3"/>
  <c r="H57" i="3"/>
  <c r="G57" i="3"/>
  <c r="J57" i="3" s="1"/>
  <c r="D57" i="3"/>
  <c r="C57" i="3"/>
  <c r="H56" i="3"/>
  <c r="G56" i="3"/>
  <c r="J56" i="3" s="1"/>
  <c r="D56" i="3"/>
  <c r="C56" i="3"/>
  <c r="H55" i="3"/>
  <c r="G55" i="3"/>
  <c r="J55" i="3" s="1"/>
  <c r="D55" i="3"/>
  <c r="C55" i="3"/>
  <c r="H54" i="3"/>
  <c r="G54" i="3"/>
  <c r="J54" i="3" s="1"/>
  <c r="D54" i="3"/>
  <c r="C54" i="3"/>
  <c r="H53" i="3"/>
  <c r="G53" i="3"/>
  <c r="J53" i="3" s="1"/>
  <c r="D53" i="3"/>
  <c r="C53" i="3"/>
  <c r="H52" i="3"/>
  <c r="G52" i="3"/>
  <c r="J52" i="3" s="1"/>
  <c r="D52" i="3"/>
  <c r="C52" i="3"/>
  <c r="H51" i="3"/>
  <c r="G51" i="3"/>
  <c r="J51" i="3" s="1"/>
  <c r="D51" i="3"/>
  <c r="C51" i="3"/>
  <c r="H50" i="3"/>
  <c r="G50" i="3"/>
  <c r="J50" i="3" s="1"/>
  <c r="D50" i="3"/>
  <c r="C50" i="3"/>
  <c r="H49" i="3"/>
  <c r="G49" i="3"/>
  <c r="J49" i="3" s="1"/>
  <c r="D49" i="3"/>
  <c r="C49" i="3"/>
  <c r="H48" i="3"/>
  <c r="G48" i="3"/>
  <c r="J48" i="3" s="1"/>
  <c r="D48" i="3"/>
  <c r="C48" i="3"/>
  <c r="H47" i="3"/>
  <c r="G47" i="3"/>
  <c r="J47" i="3" s="1"/>
  <c r="D47" i="3"/>
  <c r="C47" i="3"/>
  <c r="H46" i="3"/>
  <c r="G46" i="3"/>
  <c r="J46" i="3" s="1"/>
  <c r="D46" i="3"/>
  <c r="C46" i="3"/>
  <c r="H45" i="3"/>
  <c r="G45" i="3"/>
  <c r="J45" i="3" s="1"/>
  <c r="D45" i="3"/>
  <c r="C45" i="3"/>
  <c r="H44" i="3"/>
  <c r="G44" i="3"/>
  <c r="J44" i="3" s="1"/>
  <c r="D44" i="3"/>
  <c r="C44" i="3"/>
  <c r="H43" i="3"/>
  <c r="G43" i="3"/>
  <c r="J43" i="3" s="1"/>
  <c r="D43" i="3"/>
  <c r="C43" i="3"/>
  <c r="H42" i="3"/>
  <c r="G42" i="3"/>
  <c r="J42" i="3" s="1"/>
  <c r="D42" i="3"/>
  <c r="C42" i="3"/>
  <c r="H41" i="3"/>
  <c r="G41" i="3"/>
  <c r="J41" i="3" s="1"/>
  <c r="D41" i="3"/>
  <c r="C41" i="3"/>
  <c r="H40" i="3"/>
  <c r="G40" i="3"/>
  <c r="J40" i="3" s="1"/>
  <c r="D40" i="3"/>
  <c r="C40" i="3"/>
  <c r="H39" i="3"/>
  <c r="G39" i="3"/>
  <c r="J39" i="3" s="1"/>
  <c r="D39" i="3"/>
  <c r="C39" i="3"/>
  <c r="H38" i="3"/>
  <c r="G38" i="3"/>
  <c r="J38" i="3" s="1"/>
  <c r="D38" i="3"/>
  <c r="C38" i="3"/>
  <c r="H37" i="3"/>
  <c r="G37" i="3"/>
  <c r="J37" i="3" s="1"/>
  <c r="D37" i="3"/>
  <c r="C37" i="3"/>
  <c r="H36" i="3"/>
  <c r="G36" i="3"/>
  <c r="J36" i="3" s="1"/>
  <c r="D36" i="3"/>
  <c r="C36" i="3"/>
  <c r="H35" i="3"/>
  <c r="G35" i="3"/>
  <c r="J35" i="3" s="1"/>
  <c r="D35" i="3"/>
  <c r="C35" i="3"/>
  <c r="H34" i="3"/>
  <c r="G34" i="3"/>
  <c r="J34" i="3" s="1"/>
  <c r="D34" i="3"/>
  <c r="C34" i="3"/>
  <c r="H33" i="3"/>
  <c r="G33" i="3"/>
  <c r="J33" i="3" s="1"/>
  <c r="D33" i="3"/>
  <c r="C33" i="3"/>
  <c r="H32" i="3"/>
  <c r="G32" i="3"/>
  <c r="J32" i="3" s="1"/>
  <c r="D32" i="3"/>
  <c r="C32" i="3"/>
  <c r="H31" i="3"/>
  <c r="G31" i="3"/>
  <c r="J31" i="3" s="1"/>
  <c r="D31" i="3"/>
  <c r="C31" i="3"/>
  <c r="H30" i="3"/>
  <c r="G30" i="3"/>
  <c r="J30" i="3" s="1"/>
  <c r="D30" i="3"/>
  <c r="C30" i="3"/>
  <c r="H29" i="3"/>
  <c r="G29" i="3"/>
  <c r="J29" i="3" s="1"/>
  <c r="D29" i="3"/>
  <c r="C29" i="3"/>
  <c r="H28" i="3"/>
  <c r="G28" i="3"/>
  <c r="J28" i="3" s="1"/>
  <c r="D28" i="3"/>
  <c r="C28" i="3"/>
  <c r="H27" i="3"/>
  <c r="G27" i="3"/>
  <c r="J27" i="3" s="1"/>
  <c r="D27" i="3"/>
  <c r="C27" i="3"/>
  <c r="H26" i="3"/>
  <c r="G26" i="3"/>
  <c r="J26" i="3" s="1"/>
  <c r="D26" i="3"/>
  <c r="C26" i="3"/>
  <c r="H25" i="3"/>
  <c r="G25" i="3"/>
  <c r="J25" i="3" s="1"/>
  <c r="D25" i="3"/>
  <c r="C25" i="3"/>
  <c r="H24" i="3"/>
  <c r="G24" i="3"/>
  <c r="J24" i="3" s="1"/>
  <c r="D24" i="3"/>
  <c r="C24" i="3"/>
  <c r="H23" i="3"/>
  <c r="G23" i="3"/>
  <c r="J23" i="3" s="1"/>
  <c r="D23" i="3"/>
  <c r="C23" i="3"/>
  <c r="H22" i="3"/>
  <c r="G22" i="3"/>
  <c r="J22" i="3" s="1"/>
  <c r="D22" i="3"/>
  <c r="C22" i="3"/>
  <c r="H21" i="3"/>
  <c r="G21" i="3"/>
  <c r="J21" i="3" s="1"/>
  <c r="D21" i="3"/>
  <c r="C21" i="3"/>
  <c r="H20" i="3"/>
  <c r="G20" i="3"/>
  <c r="J20" i="3" s="1"/>
  <c r="D20" i="3"/>
  <c r="C20" i="3"/>
  <c r="H19" i="3"/>
  <c r="G19" i="3"/>
  <c r="J19" i="3" s="1"/>
  <c r="D19" i="3"/>
  <c r="C19" i="3"/>
  <c r="H18" i="3"/>
  <c r="G18" i="3"/>
  <c r="J18" i="3" s="1"/>
  <c r="D18" i="3"/>
  <c r="C18" i="3"/>
  <c r="H17" i="3"/>
  <c r="G17" i="3"/>
  <c r="J17" i="3" s="1"/>
  <c r="D17" i="3"/>
  <c r="C17" i="3"/>
  <c r="H16" i="3"/>
  <c r="G16" i="3"/>
  <c r="J16" i="3" s="1"/>
  <c r="D16" i="3"/>
  <c r="C16" i="3"/>
  <c r="H15" i="3"/>
  <c r="G15" i="3"/>
  <c r="J15" i="3" s="1"/>
  <c r="D15" i="3"/>
  <c r="C15" i="3"/>
  <c r="H14" i="3"/>
  <c r="G14" i="3"/>
  <c r="J14" i="3" s="1"/>
  <c r="D14" i="3"/>
  <c r="C14" i="3"/>
  <c r="H13" i="3"/>
  <c r="G13" i="3"/>
  <c r="J13" i="3" s="1"/>
  <c r="D13" i="3"/>
  <c r="C13" i="3"/>
  <c r="H12" i="3"/>
  <c r="G12" i="3"/>
  <c r="J12" i="3" s="1"/>
  <c r="D12" i="3"/>
  <c r="C12" i="3"/>
  <c r="H11" i="3"/>
  <c r="G11" i="3"/>
  <c r="J11" i="3" s="1"/>
  <c r="D11" i="3"/>
  <c r="C11" i="3"/>
  <c r="H10" i="3"/>
  <c r="G10" i="3"/>
  <c r="J10" i="3" s="1"/>
  <c r="D10" i="3"/>
  <c r="C10" i="3"/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10" i="2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11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10" i="1"/>
  <c r="H521" i="1"/>
  <c r="G521" i="1"/>
  <c r="D521" i="1"/>
  <c r="C521" i="1"/>
  <c r="H520" i="1"/>
  <c r="G520" i="1"/>
  <c r="D520" i="1"/>
  <c r="C520" i="1"/>
  <c r="H519" i="1"/>
  <c r="G519" i="1"/>
  <c r="D519" i="1"/>
  <c r="C519" i="1"/>
  <c r="H518" i="1"/>
  <c r="G518" i="1"/>
  <c r="D518" i="1"/>
  <c r="C518" i="1"/>
  <c r="H517" i="1"/>
  <c r="G517" i="1"/>
  <c r="D517" i="1"/>
  <c r="C517" i="1"/>
  <c r="H516" i="1"/>
  <c r="G516" i="1"/>
  <c r="D516" i="1"/>
  <c r="C516" i="1"/>
  <c r="H515" i="1"/>
  <c r="G515" i="1"/>
  <c r="D515" i="1"/>
  <c r="C515" i="1"/>
  <c r="H514" i="1"/>
  <c r="G514" i="1"/>
  <c r="D514" i="1"/>
  <c r="C514" i="1"/>
  <c r="H513" i="1"/>
  <c r="G513" i="1"/>
  <c r="D513" i="1"/>
  <c r="C513" i="1"/>
  <c r="H512" i="1"/>
  <c r="G512" i="1"/>
  <c r="D512" i="1"/>
  <c r="C512" i="1"/>
  <c r="H511" i="1"/>
  <c r="G511" i="1"/>
  <c r="D511" i="1"/>
  <c r="C511" i="1"/>
  <c r="H510" i="1"/>
  <c r="G510" i="1"/>
  <c r="D510" i="1"/>
  <c r="C510" i="1"/>
  <c r="H509" i="1"/>
  <c r="G509" i="1"/>
  <c r="D509" i="1"/>
  <c r="C509" i="1"/>
  <c r="H508" i="1"/>
  <c r="G508" i="1"/>
  <c r="D508" i="1"/>
  <c r="C508" i="1"/>
  <c r="H507" i="1"/>
  <c r="G507" i="1"/>
  <c r="D507" i="1"/>
  <c r="C507" i="1"/>
  <c r="H506" i="1"/>
  <c r="G506" i="1"/>
  <c r="D506" i="1"/>
  <c r="C506" i="1"/>
  <c r="H505" i="1"/>
  <c r="G505" i="1"/>
  <c r="D505" i="1"/>
  <c r="C505" i="1"/>
  <c r="H504" i="1"/>
  <c r="G504" i="1"/>
  <c r="D504" i="1"/>
  <c r="C504" i="1"/>
  <c r="H503" i="1"/>
  <c r="G503" i="1"/>
  <c r="D503" i="1"/>
  <c r="C503" i="1"/>
  <c r="H502" i="1"/>
  <c r="G502" i="1"/>
  <c r="D502" i="1"/>
  <c r="C502" i="1"/>
  <c r="H501" i="1"/>
  <c r="G501" i="1"/>
  <c r="D501" i="1"/>
  <c r="C501" i="1"/>
  <c r="H500" i="1"/>
  <c r="G500" i="1"/>
  <c r="D500" i="1"/>
  <c r="C500" i="1"/>
  <c r="H499" i="1"/>
  <c r="G499" i="1"/>
  <c r="D499" i="1"/>
  <c r="C499" i="1"/>
  <c r="H498" i="1"/>
  <c r="G498" i="1"/>
  <c r="D498" i="1"/>
  <c r="C498" i="1"/>
  <c r="H497" i="1"/>
  <c r="G497" i="1"/>
  <c r="D497" i="1"/>
  <c r="C497" i="1"/>
  <c r="H496" i="1"/>
  <c r="G496" i="1"/>
  <c r="D496" i="1"/>
  <c r="C496" i="1"/>
  <c r="H495" i="1"/>
  <c r="G495" i="1"/>
  <c r="D495" i="1"/>
  <c r="C495" i="1"/>
  <c r="H494" i="1"/>
  <c r="G494" i="1"/>
  <c r="D494" i="1"/>
  <c r="C494" i="1"/>
  <c r="H493" i="1"/>
  <c r="G493" i="1"/>
  <c r="D493" i="1"/>
  <c r="C493" i="1"/>
  <c r="H492" i="1"/>
  <c r="G492" i="1"/>
  <c r="D492" i="1"/>
  <c r="C492" i="1"/>
  <c r="H491" i="1"/>
  <c r="G491" i="1"/>
  <c r="D491" i="1"/>
  <c r="C491" i="1"/>
  <c r="H490" i="1"/>
  <c r="G490" i="1"/>
  <c r="D490" i="1"/>
  <c r="C490" i="1"/>
  <c r="H489" i="1"/>
  <c r="G489" i="1"/>
  <c r="D489" i="1"/>
  <c r="C489" i="1"/>
  <c r="H488" i="1"/>
  <c r="G488" i="1"/>
  <c r="D488" i="1"/>
  <c r="C488" i="1"/>
  <c r="H487" i="1"/>
  <c r="G487" i="1"/>
  <c r="D487" i="1"/>
  <c r="C487" i="1"/>
  <c r="H486" i="1"/>
  <c r="G486" i="1"/>
  <c r="D486" i="1"/>
  <c r="C486" i="1"/>
  <c r="H485" i="1"/>
  <c r="G485" i="1"/>
  <c r="D485" i="1"/>
  <c r="C485" i="1"/>
  <c r="H484" i="1"/>
  <c r="G484" i="1"/>
  <c r="D484" i="1"/>
  <c r="C484" i="1"/>
  <c r="H483" i="1"/>
  <c r="G483" i="1"/>
  <c r="D483" i="1"/>
  <c r="C483" i="1"/>
  <c r="H482" i="1"/>
  <c r="G482" i="1"/>
  <c r="D482" i="1"/>
  <c r="C482" i="1"/>
  <c r="H481" i="1"/>
  <c r="G481" i="1"/>
  <c r="D481" i="1"/>
  <c r="C481" i="1"/>
  <c r="H480" i="1"/>
  <c r="G480" i="1"/>
  <c r="D480" i="1"/>
  <c r="C480" i="1"/>
  <c r="H479" i="1"/>
  <c r="G479" i="1"/>
  <c r="D479" i="1"/>
  <c r="C479" i="1"/>
  <c r="H478" i="1"/>
  <c r="G478" i="1"/>
  <c r="D478" i="1"/>
  <c r="C478" i="1"/>
  <c r="H477" i="1"/>
  <c r="G477" i="1"/>
  <c r="D477" i="1"/>
  <c r="C477" i="1"/>
  <c r="H476" i="1"/>
  <c r="G476" i="1"/>
  <c r="D476" i="1"/>
  <c r="C476" i="1"/>
  <c r="H475" i="1"/>
  <c r="G475" i="1"/>
  <c r="D475" i="1"/>
  <c r="C475" i="1"/>
  <c r="H474" i="1"/>
  <c r="G474" i="1"/>
  <c r="D474" i="1"/>
  <c r="C474" i="1"/>
  <c r="H473" i="1"/>
  <c r="G473" i="1"/>
  <c r="D473" i="1"/>
  <c r="C473" i="1"/>
  <c r="H472" i="1"/>
  <c r="G472" i="1"/>
  <c r="D472" i="1"/>
  <c r="C472" i="1"/>
  <c r="H471" i="1"/>
  <c r="G471" i="1"/>
  <c r="D471" i="1"/>
  <c r="C471" i="1"/>
  <c r="H470" i="1"/>
  <c r="G470" i="1"/>
  <c r="D470" i="1"/>
  <c r="C470" i="1"/>
  <c r="H469" i="1"/>
  <c r="G469" i="1"/>
  <c r="D469" i="1"/>
  <c r="C469" i="1"/>
  <c r="H468" i="1"/>
  <c r="G468" i="1"/>
  <c r="D468" i="1"/>
  <c r="C468" i="1"/>
  <c r="H467" i="1"/>
  <c r="G467" i="1"/>
  <c r="D467" i="1"/>
  <c r="C467" i="1"/>
  <c r="H466" i="1"/>
  <c r="G466" i="1"/>
  <c r="D466" i="1"/>
  <c r="C466" i="1"/>
  <c r="H465" i="1"/>
  <c r="G465" i="1"/>
  <c r="D465" i="1"/>
  <c r="C465" i="1"/>
  <c r="H464" i="1"/>
  <c r="G464" i="1"/>
  <c r="D464" i="1"/>
  <c r="C464" i="1"/>
  <c r="H463" i="1"/>
  <c r="G463" i="1"/>
  <c r="D463" i="1"/>
  <c r="C463" i="1"/>
  <c r="H462" i="1"/>
  <c r="G462" i="1"/>
  <c r="D462" i="1"/>
  <c r="C462" i="1"/>
  <c r="H461" i="1"/>
  <c r="G461" i="1"/>
  <c r="D461" i="1"/>
  <c r="C461" i="1"/>
  <c r="H460" i="1"/>
  <c r="G460" i="1"/>
  <c r="D460" i="1"/>
  <c r="C460" i="1"/>
  <c r="H459" i="1"/>
  <c r="G459" i="1"/>
  <c r="D459" i="1"/>
  <c r="C459" i="1"/>
  <c r="H458" i="1"/>
  <c r="G458" i="1"/>
  <c r="D458" i="1"/>
  <c r="C458" i="1"/>
  <c r="H457" i="1"/>
  <c r="G457" i="1"/>
  <c r="D457" i="1"/>
  <c r="C457" i="1"/>
  <c r="H456" i="1"/>
  <c r="G456" i="1"/>
  <c r="D456" i="1"/>
  <c r="C456" i="1"/>
  <c r="H455" i="1"/>
  <c r="G455" i="1"/>
  <c r="D455" i="1"/>
  <c r="C455" i="1"/>
  <c r="H454" i="1"/>
  <c r="G454" i="1"/>
  <c r="D454" i="1"/>
  <c r="C454" i="1"/>
  <c r="H453" i="1"/>
  <c r="G453" i="1"/>
  <c r="D453" i="1"/>
  <c r="C453" i="1"/>
  <c r="H452" i="1"/>
  <c r="G452" i="1"/>
  <c r="D452" i="1"/>
  <c r="C452" i="1"/>
  <c r="H451" i="1"/>
  <c r="G451" i="1"/>
  <c r="D451" i="1"/>
  <c r="C451" i="1"/>
  <c r="H450" i="1"/>
  <c r="G450" i="1"/>
  <c r="D450" i="1"/>
  <c r="C450" i="1"/>
  <c r="H449" i="1"/>
  <c r="G449" i="1"/>
  <c r="D449" i="1"/>
  <c r="C449" i="1"/>
  <c r="H448" i="1"/>
  <c r="G448" i="1"/>
  <c r="D448" i="1"/>
  <c r="C448" i="1"/>
  <c r="H447" i="1"/>
  <c r="G447" i="1"/>
  <c r="D447" i="1"/>
  <c r="C447" i="1"/>
  <c r="H446" i="1"/>
  <c r="G446" i="1"/>
  <c r="D446" i="1"/>
  <c r="C446" i="1"/>
  <c r="H445" i="1"/>
  <c r="G445" i="1"/>
  <c r="D445" i="1"/>
  <c r="C445" i="1"/>
  <c r="H444" i="1"/>
  <c r="G444" i="1"/>
  <c r="D444" i="1"/>
  <c r="C444" i="1"/>
  <c r="H443" i="1"/>
  <c r="G443" i="1"/>
  <c r="D443" i="1"/>
  <c r="C443" i="1"/>
  <c r="H442" i="1"/>
  <c r="G442" i="1"/>
  <c r="D442" i="1"/>
  <c r="C442" i="1"/>
  <c r="H441" i="1"/>
  <c r="G441" i="1"/>
  <c r="D441" i="1"/>
  <c r="C441" i="1"/>
  <c r="H440" i="1"/>
  <c r="G440" i="1"/>
  <c r="D440" i="1"/>
  <c r="C440" i="1"/>
  <c r="H439" i="1"/>
  <c r="G439" i="1"/>
  <c r="D439" i="1"/>
  <c r="C439" i="1"/>
  <c r="H438" i="1"/>
  <c r="G438" i="1"/>
  <c r="D438" i="1"/>
  <c r="C438" i="1"/>
  <c r="H437" i="1"/>
  <c r="G437" i="1"/>
  <c r="D437" i="1"/>
  <c r="C437" i="1"/>
  <c r="H436" i="1"/>
  <c r="G436" i="1"/>
  <c r="D436" i="1"/>
  <c r="C436" i="1"/>
  <c r="H435" i="1"/>
  <c r="G435" i="1"/>
  <c r="D435" i="1"/>
  <c r="C435" i="1"/>
  <c r="H434" i="1"/>
  <c r="G434" i="1"/>
  <c r="D434" i="1"/>
  <c r="C434" i="1"/>
  <c r="H433" i="1"/>
  <c r="G433" i="1"/>
  <c r="D433" i="1"/>
  <c r="C433" i="1"/>
  <c r="H432" i="1"/>
  <c r="G432" i="1"/>
  <c r="D432" i="1"/>
  <c r="C432" i="1"/>
  <c r="H431" i="1"/>
  <c r="G431" i="1"/>
  <c r="D431" i="1"/>
  <c r="C431" i="1"/>
  <c r="H430" i="1"/>
  <c r="G430" i="1"/>
  <c r="D430" i="1"/>
  <c r="C430" i="1"/>
  <c r="H429" i="1"/>
  <c r="G429" i="1"/>
  <c r="D429" i="1"/>
  <c r="C429" i="1"/>
  <c r="H428" i="1"/>
  <c r="G428" i="1"/>
  <c r="D428" i="1"/>
  <c r="C428" i="1"/>
  <c r="H427" i="1"/>
  <c r="G427" i="1"/>
  <c r="D427" i="1"/>
  <c r="C427" i="1"/>
  <c r="H426" i="1"/>
  <c r="G426" i="1"/>
  <c r="D426" i="1"/>
  <c r="C426" i="1"/>
  <c r="H425" i="1"/>
  <c r="G425" i="1"/>
  <c r="D425" i="1"/>
  <c r="C425" i="1"/>
  <c r="H424" i="1"/>
  <c r="G424" i="1"/>
  <c r="D424" i="1"/>
  <c r="C424" i="1"/>
  <c r="H423" i="1"/>
  <c r="G423" i="1"/>
  <c r="D423" i="1"/>
  <c r="C423" i="1"/>
  <c r="H422" i="1"/>
  <c r="G422" i="1"/>
  <c r="D422" i="1"/>
  <c r="C422" i="1"/>
  <c r="H421" i="1"/>
  <c r="G421" i="1"/>
  <c r="D421" i="1"/>
  <c r="C421" i="1"/>
  <c r="H420" i="1"/>
  <c r="G420" i="1"/>
  <c r="D420" i="1"/>
  <c r="C420" i="1"/>
  <c r="H419" i="1"/>
  <c r="G419" i="1"/>
  <c r="D419" i="1"/>
  <c r="C419" i="1"/>
  <c r="H418" i="1"/>
  <c r="G418" i="1"/>
  <c r="D418" i="1"/>
  <c r="C418" i="1"/>
  <c r="H417" i="1"/>
  <c r="G417" i="1"/>
  <c r="D417" i="1"/>
  <c r="C417" i="1"/>
  <c r="H416" i="1"/>
  <c r="G416" i="1"/>
  <c r="D416" i="1"/>
  <c r="C416" i="1"/>
  <c r="H415" i="1"/>
  <c r="G415" i="1"/>
  <c r="D415" i="1"/>
  <c r="C415" i="1"/>
  <c r="H414" i="1"/>
  <c r="G414" i="1"/>
  <c r="D414" i="1"/>
  <c r="C414" i="1"/>
  <c r="H413" i="1"/>
  <c r="G413" i="1"/>
  <c r="D413" i="1"/>
  <c r="C413" i="1"/>
  <c r="H412" i="1"/>
  <c r="G412" i="1"/>
  <c r="D412" i="1"/>
  <c r="C412" i="1"/>
  <c r="H411" i="1"/>
  <c r="G411" i="1"/>
  <c r="D411" i="1"/>
  <c r="C411" i="1"/>
  <c r="H410" i="1"/>
  <c r="G410" i="1"/>
  <c r="D410" i="1"/>
  <c r="C410" i="1"/>
  <c r="H409" i="1"/>
  <c r="G409" i="1"/>
  <c r="D409" i="1"/>
  <c r="C409" i="1"/>
  <c r="H408" i="1"/>
  <c r="G408" i="1"/>
  <c r="D408" i="1"/>
  <c r="C408" i="1"/>
  <c r="H407" i="1"/>
  <c r="G407" i="1"/>
  <c r="D407" i="1"/>
  <c r="C407" i="1"/>
  <c r="H406" i="1"/>
  <c r="G406" i="1"/>
  <c r="D406" i="1"/>
  <c r="C406" i="1"/>
  <c r="H405" i="1"/>
  <c r="G405" i="1"/>
  <c r="D405" i="1"/>
  <c r="C405" i="1"/>
  <c r="H404" i="1"/>
  <c r="G404" i="1"/>
  <c r="D404" i="1"/>
  <c r="C404" i="1"/>
  <c r="H403" i="1"/>
  <c r="G403" i="1"/>
  <c r="D403" i="1"/>
  <c r="C403" i="1"/>
  <c r="H402" i="1"/>
  <c r="G402" i="1"/>
  <c r="D402" i="1"/>
  <c r="C402" i="1"/>
  <c r="H401" i="1"/>
  <c r="G401" i="1"/>
  <c r="D401" i="1"/>
  <c r="C401" i="1"/>
  <c r="H400" i="1"/>
  <c r="G400" i="1"/>
  <c r="D400" i="1"/>
  <c r="C400" i="1"/>
  <c r="H399" i="1"/>
  <c r="G399" i="1"/>
  <c r="D399" i="1"/>
  <c r="C399" i="1"/>
  <c r="H398" i="1"/>
  <c r="G398" i="1"/>
  <c r="D398" i="1"/>
  <c r="C398" i="1"/>
  <c r="H397" i="1"/>
  <c r="G397" i="1"/>
  <c r="D397" i="1"/>
  <c r="C397" i="1"/>
  <c r="H396" i="1"/>
  <c r="G396" i="1"/>
  <c r="D396" i="1"/>
  <c r="C396" i="1"/>
  <c r="H395" i="1"/>
  <c r="G395" i="1"/>
  <c r="D395" i="1"/>
  <c r="C395" i="1"/>
  <c r="H394" i="1"/>
  <c r="G394" i="1"/>
  <c r="D394" i="1"/>
  <c r="C394" i="1"/>
  <c r="H393" i="1"/>
  <c r="G393" i="1"/>
  <c r="D393" i="1"/>
  <c r="C393" i="1"/>
  <c r="H392" i="1"/>
  <c r="G392" i="1"/>
  <c r="D392" i="1"/>
  <c r="C392" i="1"/>
  <c r="H391" i="1"/>
  <c r="G391" i="1"/>
  <c r="D391" i="1"/>
  <c r="C391" i="1"/>
  <c r="H390" i="1"/>
  <c r="G390" i="1"/>
  <c r="D390" i="1"/>
  <c r="C390" i="1"/>
  <c r="H389" i="1"/>
  <c r="G389" i="1"/>
  <c r="D389" i="1"/>
  <c r="C389" i="1"/>
  <c r="H388" i="1"/>
  <c r="G388" i="1"/>
  <c r="D388" i="1"/>
  <c r="C388" i="1"/>
  <c r="H387" i="1"/>
  <c r="G387" i="1"/>
  <c r="D387" i="1"/>
  <c r="C387" i="1"/>
  <c r="H386" i="1"/>
  <c r="G386" i="1"/>
  <c r="D386" i="1"/>
  <c r="C386" i="1"/>
  <c r="H385" i="1"/>
  <c r="G385" i="1"/>
  <c r="D385" i="1"/>
  <c r="C385" i="1"/>
  <c r="H384" i="1"/>
  <c r="G384" i="1"/>
  <c r="D384" i="1"/>
  <c r="C384" i="1"/>
  <c r="H383" i="1"/>
  <c r="G383" i="1"/>
  <c r="D383" i="1"/>
  <c r="C383" i="1"/>
  <c r="H382" i="1"/>
  <c r="G382" i="1"/>
  <c r="D382" i="1"/>
  <c r="C382" i="1"/>
  <c r="H381" i="1"/>
  <c r="G381" i="1"/>
  <c r="D381" i="1"/>
  <c r="C381" i="1"/>
  <c r="H380" i="1"/>
  <c r="G380" i="1"/>
  <c r="D380" i="1"/>
  <c r="C380" i="1"/>
  <c r="H379" i="1"/>
  <c r="G379" i="1"/>
  <c r="D379" i="1"/>
  <c r="C379" i="1"/>
  <c r="H378" i="1"/>
  <c r="G378" i="1"/>
  <c r="D378" i="1"/>
  <c r="C378" i="1"/>
  <c r="H377" i="1"/>
  <c r="G377" i="1"/>
  <c r="D377" i="1"/>
  <c r="C377" i="1"/>
  <c r="H376" i="1"/>
  <c r="G376" i="1"/>
  <c r="D376" i="1"/>
  <c r="C376" i="1"/>
  <c r="H375" i="1"/>
  <c r="G375" i="1"/>
  <c r="D375" i="1"/>
  <c r="C375" i="1"/>
  <c r="H374" i="1"/>
  <c r="G374" i="1"/>
  <c r="D374" i="1"/>
  <c r="C374" i="1"/>
  <c r="H373" i="1"/>
  <c r="G373" i="1"/>
  <c r="D373" i="1"/>
  <c r="C373" i="1"/>
  <c r="H372" i="1"/>
  <c r="G372" i="1"/>
  <c r="D372" i="1"/>
  <c r="C372" i="1"/>
  <c r="H371" i="1"/>
  <c r="G371" i="1"/>
  <c r="D371" i="1"/>
  <c r="C371" i="1"/>
  <c r="H370" i="1"/>
  <c r="G370" i="1"/>
  <c r="D370" i="1"/>
  <c r="C370" i="1"/>
  <c r="H369" i="1"/>
  <c r="G369" i="1"/>
  <c r="D369" i="1"/>
  <c r="C369" i="1"/>
  <c r="H368" i="1"/>
  <c r="G368" i="1"/>
  <c r="D368" i="1"/>
  <c r="C368" i="1"/>
  <c r="H367" i="1"/>
  <c r="G367" i="1"/>
  <c r="D367" i="1"/>
  <c r="C367" i="1"/>
  <c r="H366" i="1"/>
  <c r="G366" i="1"/>
  <c r="D366" i="1"/>
  <c r="C366" i="1"/>
  <c r="H365" i="1"/>
  <c r="G365" i="1"/>
  <c r="D365" i="1"/>
  <c r="C365" i="1"/>
  <c r="H364" i="1"/>
  <c r="G364" i="1"/>
  <c r="D364" i="1"/>
  <c r="C364" i="1"/>
  <c r="H363" i="1"/>
  <c r="G363" i="1"/>
  <c r="D363" i="1"/>
  <c r="C363" i="1"/>
  <c r="H362" i="1"/>
  <c r="G362" i="1"/>
  <c r="D362" i="1"/>
  <c r="C362" i="1"/>
  <c r="H361" i="1"/>
  <c r="G361" i="1"/>
  <c r="D361" i="1"/>
  <c r="C361" i="1"/>
  <c r="H360" i="1"/>
  <c r="G360" i="1"/>
  <c r="D360" i="1"/>
  <c r="C360" i="1"/>
  <c r="H359" i="1"/>
  <c r="G359" i="1"/>
  <c r="D359" i="1"/>
  <c r="C359" i="1"/>
  <c r="H358" i="1"/>
  <c r="G358" i="1"/>
  <c r="D358" i="1"/>
  <c r="C358" i="1"/>
  <c r="H357" i="1"/>
  <c r="G357" i="1"/>
  <c r="D357" i="1"/>
  <c r="C357" i="1"/>
  <c r="H356" i="1"/>
  <c r="G356" i="1"/>
  <c r="D356" i="1"/>
  <c r="C356" i="1"/>
  <c r="H355" i="1"/>
  <c r="G355" i="1"/>
  <c r="D355" i="1"/>
  <c r="C355" i="1"/>
  <c r="H354" i="1"/>
  <c r="G354" i="1"/>
  <c r="D354" i="1"/>
  <c r="C354" i="1"/>
  <c r="H353" i="1"/>
  <c r="G353" i="1"/>
  <c r="D353" i="1"/>
  <c r="C353" i="1"/>
  <c r="H352" i="1"/>
  <c r="G352" i="1"/>
  <c r="D352" i="1"/>
  <c r="C352" i="1"/>
  <c r="H351" i="1"/>
  <c r="G351" i="1"/>
  <c r="D351" i="1"/>
  <c r="C351" i="1"/>
  <c r="H350" i="1"/>
  <c r="G350" i="1"/>
  <c r="D350" i="1"/>
  <c r="C350" i="1"/>
  <c r="H349" i="1"/>
  <c r="G349" i="1"/>
  <c r="D349" i="1"/>
  <c r="C349" i="1"/>
  <c r="H348" i="1"/>
  <c r="G348" i="1"/>
  <c r="D348" i="1"/>
  <c r="C348" i="1"/>
  <c r="H347" i="1"/>
  <c r="G347" i="1"/>
  <c r="D347" i="1"/>
  <c r="C347" i="1"/>
  <c r="H346" i="1"/>
  <c r="G346" i="1"/>
  <c r="D346" i="1"/>
  <c r="C346" i="1"/>
  <c r="H345" i="1"/>
  <c r="G345" i="1"/>
  <c r="D345" i="1"/>
  <c r="C345" i="1"/>
  <c r="H344" i="1"/>
  <c r="G344" i="1"/>
  <c r="D344" i="1"/>
  <c r="C344" i="1"/>
  <c r="H343" i="1"/>
  <c r="G343" i="1"/>
  <c r="D343" i="1"/>
  <c r="C343" i="1"/>
  <c r="H342" i="1"/>
  <c r="G342" i="1"/>
  <c r="D342" i="1"/>
  <c r="C342" i="1"/>
  <c r="H341" i="1"/>
  <c r="G341" i="1"/>
  <c r="D341" i="1"/>
  <c r="C341" i="1"/>
  <c r="H340" i="1"/>
  <c r="G340" i="1"/>
  <c r="D340" i="1"/>
  <c r="C340" i="1"/>
  <c r="H339" i="1"/>
  <c r="G339" i="1"/>
  <c r="D339" i="1"/>
  <c r="C339" i="1"/>
  <c r="H338" i="1"/>
  <c r="G338" i="1"/>
  <c r="D338" i="1"/>
  <c r="C338" i="1"/>
  <c r="H337" i="1"/>
  <c r="G337" i="1"/>
  <c r="D337" i="1"/>
  <c r="C337" i="1"/>
  <c r="H336" i="1"/>
  <c r="G336" i="1"/>
  <c r="D336" i="1"/>
  <c r="C336" i="1"/>
  <c r="H335" i="1"/>
  <c r="G335" i="1"/>
  <c r="D335" i="1"/>
  <c r="C335" i="1"/>
  <c r="H334" i="1"/>
  <c r="G334" i="1"/>
  <c r="D334" i="1"/>
  <c r="C334" i="1"/>
  <c r="H333" i="1"/>
  <c r="G333" i="1"/>
  <c r="D333" i="1"/>
  <c r="C333" i="1"/>
  <c r="H332" i="1"/>
  <c r="G332" i="1"/>
  <c r="D332" i="1"/>
  <c r="C332" i="1"/>
  <c r="H331" i="1"/>
  <c r="G331" i="1"/>
  <c r="D331" i="1"/>
  <c r="C331" i="1"/>
  <c r="H330" i="1"/>
  <c r="G330" i="1"/>
  <c r="D330" i="1"/>
  <c r="C330" i="1"/>
  <c r="H329" i="1"/>
  <c r="G329" i="1"/>
  <c r="D329" i="1"/>
  <c r="C329" i="1"/>
  <c r="H328" i="1"/>
  <c r="G328" i="1"/>
  <c r="D328" i="1"/>
  <c r="C328" i="1"/>
  <c r="H327" i="1"/>
  <c r="G327" i="1"/>
  <c r="D327" i="1"/>
  <c r="C327" i="1"/>
  <c r="H326" i="1"/>
  <c r="G326" i="1"/>
  <c r="D326" i="1"/>
  <c r="C326" i="1"/>
  <c r="H325" i="1"/>
  <c r="G325" i="1"/>
  <c r="D325" i="1"/>
  <c r="C325" i="1"/>
  <c r="H324" i="1"/>
  <c r="G324" i="1"/>
  <c r="D324" i="1"/>
  <c r="C324" i="1"/>
  <c r="H323" i="1"/>
  <c r="G323" i="1"/>
  <c r="D323" i="1"/>
  <c r="C323" i="1"/>
  <c r="H322" i="1"/>
  <c r="G322" i="1"/>
  <c r="D322" i="1"/>
  <c r="C322" i="1"/>
  <c r="H321" i="1"/>
  <c r="G321" i="1"/>
  <c r="D321" i="1"/>
  <c r="C321" i="1"/>
  <c r="H320" i="1"/>
  <c r="G320" i="1"/>
  <c r="D320" i="1"/>
  <c r="C320" i="1"/>
  <c r="H319" i="1"/>
  <c r="G319" i="1"/>
  <c r="D319" i="1"/>
  <c r="C319" i="1"/>
  <c r="H318" i="1"/>
  <c r="G318" i="1"/>
  <c r="D318" i="1"/>
  <c r="C318" i="1"/>
  <c r="H317" i="1"/>
  <c r="G317" i="1"/>
  <c r="D317" i="1"/>
  <c r="C317" i="1"/>
  <c r="H316" i="1"/>
  <c r="G316" i="1"/>
  <c r="D316" i="1"/>
  <c r="C316" i="1"/>
  <c r="H315" i="1"/>
  <c r="G315" i="1"/>
  <c r="D315" i="1"/>
  <c r="C315" i="1"/>
  <c r="H314" i="1"/>
  <c r="G314" i="1"/>
  <c r="D314" i="1"/>
  <c r="C314" i="1"/>
  <c r="H313" i="1"/>
  <c r="G313" i="1"/>
  <c r="D313" i="1"/>
  <c r="C313" i="1"/>
  <c r="H312" i="1"/>
  <c r="G312" i="1"/>
  <c r="D312" i="1"/>
  <c r="C312" i="1"/>
  <c r="H311" i="1"/>
  <c r="G311" i="1"/>
  <c r="D311" i="1"/>
  <c r="C311" i="1"/>
  <c r="H310" i="1"/>
  <c r="G310" i="1"/>
  <c r="D310" i="1"/>
  <c r="C310" i="1"/>
  <c r="H309" i="1"/>
  <c r="G309" i="1"/>
  <c r="D309" i="1"/>
  <c r="C309" i="1"/>
  <c r="H308" i="1"/>
  <c r="G308" i="1"/>
  <c r="D308" i="1"/>
  <c r="C308" i="1"/>
  <c r="H307" i="1"/>
  <c r="G307" i="1"/>
  <c r="D307" i="1"/>
  <c r="C307" i="1"/>
  <c r="H306" i="1"/>
  <c r="G306" i="1"/>
  <c r="D306" i="1"/>
  <c r="C306" i="1"/>
  <c r="H305" i="1"/>
  <c r="G305" i="1"/>
  <c r="D305" i="1"/>
  <c r="C305" i="1"/>
  <c r="H304" i="1"/>
  <c r="G304" i="1"/>
  <c r="D304" i="1"/>
  <c r="C304" i="1"/>
  <c r="H303" i="1"/>
  <c r="G303" i="1"/>
  <c r="D303" i="1"/>
  <c r="C303" i="1"/>
  <c r="H302" i="1"/>
  <c r="G302" i="1"/>
  <c r="D302" i="1"/>
  <c r="C302" i="1"/>
  <c r="H301" i="1"/>
  <c r="G301" i="1"/>
  <c r="D301" i="1"/>
  <c r="C301" i="1"/>
  <c r="H300" i="1"/>
  <c r="G300" i="1"/>
  <c r="D300" i="1"/>
  <c r="C300" i="1"/>
  <c r="H299" i="1"/>
  <c r="G299" i="1"/>
  <c r="D299" i="1"/>
  <c r="C299" i="1"/>
  <c r="H298" i="1"/>
  <c r="G298" i="1"/>
  <c r="D298" i="1"/>
  <c r="C298" i="1"/>
  <c r="H297" i="1"/>
  <c r="G297" i="1"/>
  <c r="D297" i="1"/>
  <c r="C297" i="1"/>
  <c r="H296" i="1"/>
  <c r="G296" i="1"/>
  <c r="D296" i="1"/>
  <c r="C296" i="1"/>
  <c r="H295" i="1"/>
  <c r="G295" i="1"/>
  <c r="D295" i="1"/>
  <c r="C295" i="1"/>
  <c r="H294" i="1"/>
  <c r="G294" i="1"/>
  <c r="D294" i="1"/>
  <c r="C294" i="1"/>
  <c r="H293" i="1"/>
  <c r="G293" i="1"/>
  <c r="D293" i="1"/>
  <c r="C293" i="1"/>
  <c r="H292" i="1"/>
  <c r="G292" i="1"/>
  <c r="D292" i="1"/>
  <c r="C292" i="1"/>
  <c r="H291" i="1"/>
  <c r="G291" i="1"/>
  <c r="D291" i="1"/>
  <c r="C291" i="1"/>
  <c r="H290" i="1"/>
  <c r="G290" i="1"/>
  <c r="D290" i="1"/>
  <c r="C290" i="1"/>
  <c r="H289" i="1"/>
  <c r="G289" i="1"/>
  <c r="D289" i="1"/>
  <c r="C289" i="1"/>
  <c r="H288" i="1"/>
  <c r="G288" i="1"/>
  <c r="D288" i="1"/>
  <c r="C288" i="1"/>
  <c r="H287" i="1"/>
  <c r="G287" i="1"/>
  <c r="D287" i="1"/>
  <c r="C287" i="1"/>
  <c r="H286" i="1"/>
  <c r="G286" i="1"/>
  <c r="D286" i="1"/>
  <c r="C286" i="1"/>
  <c r="H285" i="1"/>
  <c r="G285" i="1"/>
  <c r="D285" i="1"/>
  <c r="C285" i="1"/>
  <c r="H284" i="1"/>
  <c r="G284" i="1"/>
  <c r="D284" i="1"/>
  <c r="C284" i="1"/>
  <c r="H283" i="1"/>
  <c r="G283" i="1"/>
  <c r="D283" i="1"/>
  <c r="C283" i="1"/>
  <c r="H282" i="1"/>
  <c r="G282" i="1"/>
  <c r="D282" i="1"/>
  <c r="C282" i="1"/>
  <c r="H281" i="1"/>
  <c r="G281" i="1"/>
  <c r="D281" i="1"/>
  <c r="C281" i="1"/>
  <c r="H280" i="1"/>
  <c r="G280" i="1"/>
  <c r="D280" i="1"/>
  <c r="C280" i="1"/>
  <c r="H279" i="1"/>
  <c r="G279" i="1"/>
  <c r="D279" i="1"/>
  <c r="C279" i="1"/>
  <c r="H278" i="1"/>
  <c r="G278" i="1"/>
  <c r="D278" i="1"/>
  <c r="C278" i="1"/>
  <c r="H277" i="1"/>
  <c r="G277" i="1"/>
  <c r="D277" i="1"/>
  <c r="C277" i="1"/>
  <c r="H276" i="1"/>
  <c r="G276" i="1"/>
  <c r="D276" i="1"/>
  <c r="C276" i="1"/>
  <c r="H275" i="1"/>
  <c r="G275" i="1"/>
  <c r="D275" i="1"/>
  <c r="C275" i="1"/>
  <c r="H274" i="1"/>
  <c r="G274" i="1"/>
  <c r="D274" i="1"/>
  <c r="C274" i="1"/>
  <c r="H273" i="1"/>
  <c r="G273" i="1"/>
  <c r="D273" i="1"/>
  <c r="C273" i="1"/>
  <c r="H272" i="1"/>
  <c r="G272" i="1"/>
  <c r="D272" i="1"/>
  <c r="C272" i="1"/>
  <c r="H271" i="1"/>
  <c r="G271" i="1"/>
  <c r="D271" i="1"/>
  <c r="C271" i="1"/>
  <c r="H270" i="1"/>
  <c r="G270" i="1"/>
  <c r="D270" i="1"/>
  <c r="C270" i="1"/>
  <c r="H269" i="1"/>
  <c r="G269" i="1"/>
  <c r="D269" i="1"/>
  <c r="C269" i="1"/>
  <c r="H268" i="1"/>
  <c r="G268" i="1"/>
  <c r="D268" i="1"/>
  <c r="C268" i="1"/>
  <c r="H267" i="1"/>
  <c r="G267" i="1"/>
  <c r="D267" i="1"/>
  <c r="C267" i="1"/>
  <c r="H266" i="1"/>
  <c r="G266" i="1"/>
  <c r="D266" i="1"/>
  <c r="C266" i="1"/>
  <c r="H265" i="1"/>
  <c r="G265" i="1"/>
  <c r="D265" i="1"/>
  <c r="C265" i="1"/>
  <c r="H264" i="1"/>
  <c r="G264" i="1"/>
  <c r="D264" i="1"/>
  <c r="C264" i="1"/>
  <c r="H263" i="1"/>
  <c r="G263" i="1"/>
  <c r="D263" i="1"/>
  <c r="C263" i="1"/>
  <c r="H262" i="1"/>
  <c r="G262" i="1"/>
  <c r="D262" i="1"/>
  <c r="C262" i="1"/>
  <c r="H261" i="1"/>
  <c r="G261" i="1"/>
  <c r="D261" i="1"/>
  <c r="C261" i="1"/>
  <c r="H260" i="1"/>
  <c r="G260" i="1"/>
  <c r="D260" i="1"/>
  <c r="C260" i="1"/>
  <c r="H259" i="1"/>
  <c r="G259" i="1"/>
  <c r="D259" i="1"/>
  <c r="C259" i="1"/>
  <c r="H258" i="1"/>
  <c r="G258" i="1"/>
  <c r="D258" i="1"/>
  <c r="C258" i="1"/>
  <c r="H257" i="1"/>
  <c r="G257" i="1"/>
  <c r="D257" i="1"/>
  <c r="C257" i="1"/>
  <c r="H256" i="1"/>
  <c r="G256" i="1"/>
  <c r="D256" i="1"/>
  <c r="C256" i="1"/>
  <c r="H255" i="1"/>
  <c r="G255" i="1"/>
  <c r="D255" i="1"/>
  <c r="C255" i="1"/>
  <c r="H254" i="1"/>
  <c r="G254" i="1"/>
  <c r="D254" i="1"/>
  <c r="C254" i="1"/>
  <c r="H253" i="1"/>
  <c r="G253" i="1"/>
  <c r="D253" i="1"/>
  <c r="C253" i="1"/>
  <c r="H252" i="1"/>
  <c r="G252" i="1"/>
  <c r="D252" i="1"/>
  <c r="C252" i="1"/>
  <c r="H251" i="1"/>
  <c r="G251" i="1"/>
  <c r="D251" i="1"/>
  <c r="C251" i="1"/>
  <c r="H250" i="1"/>
  <c r="G250" i="1"/>
  <c r="D250" i="1"/>
  <c r="C250" i="1"/>
  <c r="H249" i="1"/>
  <c r="G249" i="1"/>
  <c r="D249" i="1"/>
  <c r="C249" i="1"/>
  <c r="H248" i="1"/>
  <c r="G248" i="1"/>
  <c r="D248" i="1"/>
  <c r="C248" i="1"/>
  <c r="H247" i="1"/>
  <c r="G247" i="1"/>
  <c r="D247" i="1"/>
  <c r="C247" i="1"/>
  <c r="H246" i="1"/>
  <c r="G246" i="1"/>
  <c r="D246" i="1"/>
  <c r="C246" i="1"/>
  <c r="H245" i="1"/>
  <c r="G245" i="1"/>
  <c r="D245" i="1"/>
  <c r="C245" i="1"/>
  <c r="H244" i="1"/>
  <c r="G244" i="1"/>
  <c r="D244" i="1"/>
  <c r="C244" i="1"/>
  <c r="H243" i="1"/>
  <c r="G243" i="1"/>
  <c r="D243" i="1"/>
  <c r="C243" i="1"/>
  <c r="H242" i="1"/>
  <c r="G242" i="1"/>
  <c r="D242" i="1"/>
  <c r="C242" i="1"/>
  <c r="H241" i="1"/>
  <c r="G241" i="1"/>
  <c r="D241" i="1"/>
  <c r="C241" i="1"/>
  <c r="H240" i="1"/>
  <c r="G240" i="1"/>
  <c r="D240" i="1"/>
  <c r="C240" i="1"/>
  <c r="H239" i="1"/>
  <c r="G239" i="1"/>
  <c r="D239" i="1"/>
  <c r="C239" i="1"/>
  <c r="H238" i="1"/>
  <c r="G238" i="1"/>
  <c r="D238" i="1"/>
  <c r="C238" i="1"/>
  <c r="H237" i="1"/>
  <c r="G237" i="1"/>
  <c r="D237" i="1"/>
  <c r="C237" i="1"/>
  <c r="H236" i="1"/>
  <c r="G236" i="1"/>
  <c r="D236" i="1"/>
  <c r="C236" i="1"/>
  <c r="H235" i="1"/>
  <c r="G235" i="1"/>
  <c r="D235" i="1"/>
  <c r="C235" i="1"/>
  <c r="H234" i="1"/>
  <c r="G234" i="1"/>
  <c r="D234" i="1"/>
  <c r="C234" i="1"/>
  <c r="H233" i="1"/>
  <c r="G233" i="1"/>
  <c r="D233" i="1"/>
  <c r="C233" i="1"/>
  <c r="H232" i="1"/>
  <c r="G232" i="1"/>
  <c r="D232" i="1"/>
  <c r="C232" i="1"/>
  <c r="H231" i="1"/>
  <c r="G231" i="1"/>
  <c r="D231" i="1"/>
  <c r="C231" i="1"/>
  <c r="H230" i="1"/>
  <c r="G230" i="1"/>
  <c r="D230" i="1"/>
  <c r="C230" i="1"/>
  <c r="H229" i="1"/>
  <c r="G229" i="1"/>
  <c r="D229" i="1"/>
  <c r="C229" i="1"/>
  <c r="H228" i="1"/>
  <c r="G228" i="1"/>
  <c r="D228" i="1"/>
  <c r="C228" i="1"/>
  <c r="H227" i="1"/>
  <c r="G227" i="1"/>
  <c r="D227" i="1"/>
  <c r="C227" i="1"/>
  <c r="H226" i="1"/>
  <c r="G226" i="1"/>
  <c r="D226" i="1"/>
  <c r="C226" i="1"/>
  <c r="H225" i="1"/>
  <c r="G225" i="1"/>
  <c r="D225" i="1"/>
  <c r="C225" i="1"/>
  <c r="H224" i="1"/>
  <c r="G224" i="1"/>
  <c r="D224" i="1"/>
  <c r="C224" i="1"/>
  <c r="H223" i="1"/>
  <c r="G223" i="1"/>
  <c r="D223" i="1"/>
  <c r="C223" i="1"/>
  <c r="H222" i="1"/>
  <c r="G222" i="1"/>
  <c r="D222" i="1"/>
  <c r="C222" i="1"/>
  <c r="H221" i="1"/>
  <c r="G221" i="1"/>
  <c r="D221" i="1"/>
  <c r="C221" i="1"/>
  <c r="H220" i="1"/>
  <c r="G220" i="1"/>
  <c r="D220" i="1"/>
  <c r="C220" i="1"/>
  <c r="H219" i="1"/>
  <c r="G219" i="1"/>
  <c r="D219" i="1"/>
  <c r="C219" i="1"/>
  <c r="H218" i="1"/>
  <c r="G218" i="1"/>
  <c r="D218" i="1"/>
  <c r="C218" i="1"/>
  <c r="H217" i="1"/>
  <c r="G217" i="1"/>
  <c r="D217" i="1"/>
  <c r="C217" i="1"/>
  <c r="H216" i="1"/>
  <c r="G216" i="1"/>
  <c r="D216" i="1"/>
  <c r="C216" i="1"/>
  <c r="H215" i="1"/>
  <c r="G215" i="1"/>
  <c r="D215" i="1"/>
  <c r="C215" i="1"/>
  <c r="H214" i="1"/>
  <c r="G214" i="1"/>
  <c r="D214" i="1"/>
  <c r="C214" i="1"/>
  <c r="H213" i="1"/>
  <c r="G213" i="1"/>
  <c r="D213" i="1"/>
  <c r="C213" i="1"/>
  <c r="H212" i="1"/>
  <c r="G212" i="1"/>
  <c r="D212" i="1"/>
  <c r="C212" i="1"/>
  <c r="H211" i="1"/>
  <c r="G211" i="1"/>
  <c r="D211" i="1"/>
  <c r="C211" i="1"/>
  <c r="H210" i="1"/>
  <c r="G210" i="1"/>
  <c r="D210" i="1"/>
  <c r="C210" i="1"/>
  <c r="H209" i="1"/>
  <c r="G209" i="1"/>
  <c r="D209" i="1"/>
  <c r="C209" i="1"/>
  <c r="H208" i="1"/>
  <c r="G208" i="1"/>
  <c r="D208" i="1"/>
  <c r="C208" i="1"/>
  <c r="H207" i="1"/>
  <c r="G207" i="1"/>
  <c r="D207" i="1"/>
  <c r="C207" i="1"/>
  <c r="H206" i="1"/>
  <c r="G206" i="1"/>
  <c r="D206" i="1"/>
  <c r="C206" i="1"/>
  <c r="H205" i="1"/>
  <c r="G205" i="1"/>
  <c r="D205" i="1"/>
  <c r="C205" i="1"/>
  <c r="H204" i="1"/>
  <c r="G204" i="1"/>
  <c r="D204" i="1"/>
  <c r="C204" i="1"/>
  <c r="H203" i="1"/>
  <c r="G203" i="1"/>
  <c r="D203" i="1"/>
  <c r="C203" i="1"/>
  <c r="H202" i="1"/>
  <c r="G202" i="1"/>
  <c r="D202" i="1"/>
  <c r="C202" i="1"/>
  <c r="H201" i="1"/>
  <c r="G201" i="1"/>
  <c r="D201" i="1"/>
  <c r="C201" i="1"/>
  <c r="H200" i="1"/>
  <c r="G200" i="1"/>
  <c r="D200" i="1"/>
  <c r="C200" i="1"/>
  <c r="H199" i="1"/>
  <c r="G199" i="1"/>
  <c r="D199" i="1"/>
  <c r="C199" i="1"/>
  <c r="H198" i="1"/>
  <c r="G198" i="1"/>
  <c r="D198" i="1"/>
  <c r="C198" i="1"/>
  <c r="H197" i="1"/>
  <c r="G197" i="1"/>
  <c r="D197" i="1"/>
  <c r="C197" i="1"/>
  <c r="H196" i="1"/>
  <c r="G196" i="1"/>
  <c r="D196" i="1"/>
  <c r="C196" i="1"/>
  <c r="H195" i="1"/>
  <c r="G195" i="1"/>
  <c r="D195" i="1"/>
  <c r="C195" i="1"/>
  <c r="H194" i="1"/>
  <c r="G194" i="1"/>
  <c r="D194" i="1"/>
  <c r="C194" i="1"/>
  <c r="H193" i="1"/>
  <c r="G193" i="1"/>
  <c r="D193" i="1"/>
  <c r="C193" i="1"/>
  <c r="H192" i="1"/>
  <c r="G192" i="1"/>
  <c r="D192" i="1"/>
  <c r="C192" i="1"/>
  <c r="H191" i="1"/>
  <c r="G191" i="1"/>
  <c r="D191" i="1"/>
  <c r="C191" i="1"/>
  <c r="H190" i="1"/>
  <c r="G190" i="1"/>
  <c r="D190" i="1"/>
  <c r="C190" i="1"/>
  <c r="H189" i="1"/>
  <c r="G189" i="1"/>
  <c r="D189" i="1"/>
  <c r="C189" i="1"/>
  <c r="H188" i="1"/>
  <c r="G188" i="1"/>
  <c r="D188" i="1"/>
  <c r="C188" i="1"/>
  <c r="H187" i="1"/>
  <c r="G187" i="1"/>
  <c r="D187" i="1"/>
  <c r="C187" i="1"/>
  <c r="H186" i="1"/>
  <c r="G186" i="1"/>
  <c r="D186" i="1"/>
  <c r="C186" i="1"/>
  <c r="H185" i="1"/>
  <c r="G185" i="1"/>
  <c r="D185" i="1"/>
  <c r="C185" i="1"/>
  <c r="H184" i="1"/>
  <c r="G184" i="1"/>
  <c r="D184" i="1"/>
  <c r="C184" i="1"/>
  <c r="H183" i="1"/>
  <c r="G183" i="1"/>
  <c r="D183" i="1"/>
  <c r="C183" i="1"/>
  <c r="H182" i="1"/>
  <c r="G182" i="1"/>
  <c r="D182" i="1"/>
  <c r="C182" i="1"/>
  <c r="H181" i="1"/>
  <c r="G181" i="1"/>
  <c r="D181" i="1"/>
  <c r="C181" i="1"/>
  <c r="H180" i="1"/>
  <c r="G180" i="1"/>
  <c r="D180" i="1"/>
  <c r="C180" i="1"/>
  <c r="H179" i="1"/>
  <c r="G179" i="1"/>
  <c r="D179" i="1"/>
  <c r="C179" i="1"/>
  <c r="H178" i="1"/>
  <c r="G178" i="1"/>
  <c r="D178" i="1"/>
  <c r="C178" i="1"/>
  <c r="H177" i="1"/>
  <c r="G177" i="1"/>
  <c r="D177" i="1"/>
  <c r="C177" i="1"/>
  <c r="H176" i="1"/>
  <c r="G176" i="1"/>
  <c r="D176" i="1"/>
  <c r="C176" i="1"/>
  <c r="H175" i="1"/>
  <c r="G175" i="1"/>
  <c r="D175" i="1"/>
  <c r="C175" i="1"/>
  <c r="H174" i="1"/>
  <c r="G174" i="1"/>
  <c r="D174" i="1"/>
  <c r="C174" i="1"/>
  <c r="H173" i="1"/>
  <c r="G173" i="1"/>
  <c r="D173" i="1"/>
  <c r="C173" i="1"/>
  <c r="H172" i="1"/>
  <c r="G172" i="1"/>
  <c r="D172" i="1"/>
  <c r="C172" i="1"/>
  <c r="H171" i="1"/>
  <c r="G171" i="1"/>
  <c r="D171" i="1"/>
  <c r="C171" i="1"/>
  <c r="H170" i="1"/>
  <c r="G170" i="1"/>
  <c r="D170" i="1"/>
  <c r="C170" i="1"/>
  <c r="H169" i="1"/>
  <c r="G169" i="1"/>
  <c r="D169" i="1"/>
  <c r="C169" i="1"/>
  <c r="H168" i="1"/>
  <c r="G168" i="1"/>
  <c r="D168" i="1"/>
  <c r="C168" i="1"/>
  <c r="H167" i="1"/>
  <c r="G167" i="1"/>
  <c r="D167" i="1"/>
  <c r="C167" i="1"/>
  <c r="H166" i="1"/>
  <c r="G166" i="1"/>
  <c r="D166" i="1"/>
  <c r="C166" i="1"/>
  <c r="H165" i="1"/>
  <c r="G165" i="1"/>
  <c r="D165" i="1"/>
  <c r="C165" i="1"/>
  <c r="H164" i="1"/>
  <c r="G164" i="1"/>
  <c r="D164" i="1"/>
  <c r="C164" i="1"/>
  <c r="H163" i="1"/>
  <c r="G163" i="1"/>
  <c r="D163" i="1"/>
  <c r="C163" i="1"/>
  <c r="H162" i="1"/>
  <c r="G162" i="1"/>
  <c r="D162" i="1"/>
  <c r="C162" i="1"/>
  <c r="H161" i="1"/>
  <c r="G161" i="1"/>
  <c r="D161" i="1"/>
  <c r="C161" i="1"/>
  <c r="H160" i="1"/>
  <c r="G160" i="1"/>
  <c r="D160" i="1"/>
  <c r="C160" i="1"/>
  <c r="H159" i="1"/>
  <c r="G159" i="1"/>
  <c r="D159" i="1"/>
  <c r="C159" i="1"/>
  <c r="H158" i="1"/>
  <c r="G158" i="1"/>
  <c r="D158" i="1"/>
  <c r="C158" i="1"/>
  <c r="H157" i="1"/>
  <c r="G157" i="1"/>
  <c r="D157" i="1"/>
  <c r="C157" i="1"/>
  <c r="H156" i="1"/>
  <c r="G156" i="1"/>
  <c r="D156" i="1"/>
  <c r="C156" i="1"/>
  <c r="H155" i="1"/>
  <c r="G155" i="1"/>
  <c r="D155" i="1"/>
  <c r="C155" i="1"/>
  <c r="H154" i="1"/>
  <c r="G154" i="1"/>
  <c r="D154" i="1"/>
  <c r="C154" i="1"/>
  <c r="H153" i="1"/>
  <c r="G153" i="1"/>
  <c r="D153" i="1"/>
  <c r="C153" i="1"/>
  <c r="H152" i="1"/>
  <c r="G152" i="1"/>
  <c r="D152" i="1"/>
  <c r="C152" i="1"/>
  <c r="H151" i="1"/>
  <c r="G151" i="1"/>
  <c r="D151" i="1"/>
  <c r="C151" i="1"/>
  <c r="H150" i="1"/>
  <c r="G150" i="1"/>
  <c r="D150" i="1"/>
  <c r="C150" i="1"/>
  <c r="H149" i="1"/>
  <c r="G149" i="1"/>
  <c r="D149" i="1"/>
  <c r="C149" i="1"/>
  <c r="H148" i="1"/>
  <c r="G148" i="1"/>
  <c r="D148" i="1"/>
  <c r="C148" i="1"/>
  <c r="H147" i="1"/>
  <c r="G147" i="1"/>
  <c r="D147" i="1"/>
  <c r="C147" i="1"/>
  <c r="H146" i="1"/>
  <c r="G146" i="1"/>
  <c r="D146" i="1"/>
  <c r="C146" i="1"/>
  <c r="H145" i="1"/>
  <c r="G145" i="1"/>
  <c r="D145" i="1"/>
  <c r="C145" i="1"/>
  <c r="H144" i="1"/>
  <c r="G144" i="1"/>
  <c r="D144" i="1"/>
  <c r="C144" i="1"/>
  <c r="H143" i="1"/>
  <c r="G143" i="1"/>
  <c r="D143" i="1"/>
  <c r="C143" i="1"/>
  <c r="H142" i="1"/>
  <c r="G142" i="1"/>
  <c r="D142" i="1"/>
  <c r="C142" i="1"/>
  <c r="H141" i="1"/>
  <c r="G141" i="1"/>
  <c r="D141" i="1"/>
  <c r="C141" i="1"/>
  <c r="H140" i="1"/>
  <c r="G140" i="1"/>
  <c r="D140" i="1"/>
  <c r="C140" i="1"/>
  <c r="H139" i="1"/>
  <c r="G139" i="1"/>
  <c r="D139" i="1"/>
  <c r="C139" i="1"/>
  <c r="H138" i="1"/>
  <c r="G138" i="1"/>
  <c r="D138" i="1"/>
  <c r="C138" i="1"/>
  <c r="H137" i="1"/>
  <c r="G137" i="1"/>
  <c r="D137" i="1"/>
  <c r="C137" i="1"/>
  <c r="H136" i="1"/>
  <c r="G136" i="1"/>
  <c r="D136" i="1"/>
  <c r="C136" i="1"/>
  <c r="H135" i="1"/>
  <c r="G135" i="1"/>
  <c r="D135" i="1"/>
  <c r="C135" i="1"/>
  <c r="H134" i="1"/>
  <c r="G134" i="1"/>
  <c r="D134" i="1"/>
  <c r="C134" i="1"/>
  <c r="H133" i="1"/>
  <c r="G133" i="1"/>
  <c r="D133" i="1"/>
  <c r="C133" i="1"/>
  <c r="H132" i="1"/>
  <c r="G132" i="1"/>
  <c r="D132" i="1"/>
  <c r="C132" i="1"/>
  <c r="H131" i="1"/>
  <c r="G131" i="1"/>
  <c r="D131" i="1"/>
  <c r="C131" i="1"/>
  <c r="H130" i="1"/>
  <c r="G130" i="1"/>
  <c r="D130" i="1"/>
  <c r="C130" i="1"/>
  <c r="H129" i="1"/>
  <c r="G129" i="1"/>
  <c r="D129" i="1"/>
  <c r="C129" i="1"/>
  <c r="H128" i="1"/>
  <c r="G128" i="1"/>
  <c r="D128" i="1"/>
  <c r="C128" i="1"/>
  <c r="H127" i="1"/>
  <c r="G127" i="1"/>
  <c r="D127" i="1"/>
  <c r="C127" i="1"/>
  <c r="H126" i="1"/>
  <c r="G126" i="1"/>
  <c r="D126" i="1"/>
  <c r="C126" i="1"/>
  <c r="H125" i="1"/>
  <c r="G125" i="1"/>
  <c r="D125" i="1"/>
  <c r="C125" i="1"/>
  <c r="H124" i="1"/>
  <c r="G124" i="1"/>
  <c r="D124" i="1"/>
  <c r="C124" i="1"/>
  <c r="H123" i="1"/>
  <c r="G123" i="1"/>
  <c r="D123" i="1"/>
  <c r="C123" i="1"/>
  <c r="H122" i="1"/>
  <c r="G122" i="1"/>
  <c r="D122" i="1"/>
  <c r="C122" i="1"/>
  <c r="H121" i="1"/>
  <c r="G121" i="1"/>
  <c r="D121" i="1"/>
  <c r="C121" i="1"/>
  <c r="H120" i="1"/>
  <c r="G120" i="1"/>
  <c r="D120" i="1"/>
  <c r="C120" i="1"/>
  <c r="H119" i="1"/>
  <c r="G119" i="1"/>
  <c r="D119" i="1"/>
  <c r="C119" i="1"/>
  <c r="H118" i="1"/>
  <c r="G118" i="1"/>
  <c r="D118" i="1"/>
  <c r="C118" i="1"/>
  <c r="H117" i="1"/>
  <c r="G117" i="1"/>
  <c r="D117" i="1"/>
  <c r="C117" i="1"/>
  <c r="H116" i="1"/>
  <c r="G116" i="1"/>
  <c r="D116" i="1"/>
  <c r="C116" i="1"/>
  <c r="H115" i="1"/>
  <c r="G115" i="1"/>
  <c r="D115" i="1"/>
  <c r="C115" i="1"/>
  <c r="H114" i="1"/>
  <c r="G114" i="1"/>
  <c r="D114" i="1"/>
  <c r="C114" i="1"/>
  <c r="H113" i="1"/>
  <c r="G113" i="1"/>
  <c r="D113" i="1"/>
  <c r="C113" i="1"/>
  <c r="H112" i="1"/>
  <c r="G112" i="1"/>
  <c r="D112" i="1"/>
  <c r="C112" i="1"/>
  <c r="H111" i="1"/>
  <c r="G111" i="1"/>
  <c r="D111" i="1"/>
  <c r="C111" i="1"/>
  <c r="H110" i="1"/>
  <c r="G110" i="1"/>
  <c r="D110" i="1"/>
  <c r="C110" i="1"/>
  <c r="H109" i="1"/>
  <c r="G109" i="1"/>
  <c r="D109" i="1"/>
  <c r="C109" i="1"/>
  <c r="H108" i="1"/>
  <c r="G108" i="1"/>
  <c r="D108" i="1"/>
  <c r="C108" i="1"/>
  <c r="H107" i="1"/>
  <c r="G107" i="1"/>
  <c r="D107" i="1"/>
  <c r="C107" i="1"/>
  <c r="H106" i="1"/>
  <c r="G106" i="1"/>
  <c r="D106" i="1"/>
  <c r="C106" i="1"/>
  <c r="H105" i="1"/>
  <c r="G105" i="1"/>
  <c r="D105" i="1"/>
  <c r="C105" i="1"/>
  <c r="H104" i="1"/>
  <c r="G104" i="1"/>
  <c r="D104" i="1"/>
  <c r="C104" i="1"/>
  <c r="H103" i="1"/>
  <c r="G103" i="1"/>
  <c r="D103" i="1"/>
  <c r="C103" i="1"/>
  <c r="H102" i="1"/>
  <c r="G102" i="1"/>
  <c r="D102" i="1"/>
  <c r="C102" i="1"/>
  <c r="H101" i="1"/>
  <c r="G101" i="1"/>
  <c r="D101" i="1"/>
  <c r="C101" i="1"/>
  <c r="H100" i="1"/>
  <c r="G100" i="1"/>
  <c r="D100" i="1"/>
  <c r="C100" i="1"/>
  <c r="H99" i="1"/>
  <c r="G99" i="1"/>
  <c r="D99" i="1"/>
  <c r="C99" i="1"/>
  <c r="H98" i="1"/>
  <c r="G98" i="1"/>
  <c r="D98" i="1"/>
  <c r="C98" i="1"/>
  <c r="H97" i="1"/>
  <c r="G97" i="1"/>
  <c r="D97" i="1"/>
  <c r="C97" i="1"/>
  <c r="H96" i="1"/>
  <c r="G96" i="1"/>
  <c r="D96" i="1"/>
  <c r="C96" i="1"/>
  <c r="H95" i="1"/>
  <c r="G95" i="1"/>
  <c r="D95" i="1"/>
  <c r="C95" i="1"/>
  <c r="H94" i="1"/>
  <c r="G94" i="1"/>
  <c r="D94" i="1"/>
  <c r="C94" i="1"/>
  <c r="H93" i="1"/>
  <c r="G93" i="1"/>
  <c r="D93" i="1"/>
  <c r="C93" i="1"/>
  <c r="H92" i="1"/>
  <c r="G92" i="1"/>
  <c r="D92" i="1"/>
  <c r="C92" i="1"/>
  <c r="H91" i="1"/>
  <c r="G91" i="1"/>
  <c r="D91" i="1"/>
  <c r="C91" i="1"/>
  <c r="H90" i="1"/>
  <c r="G90" i="1"/>
  <c r="D90" i="1"/>
  <c r="C90" i="1"/>
  <c r="H89" i="1"/>
  <c r="G89" i="1"/>
  <c r="D89" i="1"/>
  <c r="C89" i="1"/>
  <c r="H88" i="1"/>
  <c r="G88" i="1"/>
  <c r="D88" i="1"/>
  <c r="C88" i="1"/>
  <c r="H87" i="1"/>
  <c r="G87" i="1"/>
  <c r="D87" i="1"/>
  <c r="C87" i="1"/>
  <c r="H86" i="1"/>
  <c r="G86" i="1"/>
  <c r="D86" i="1"/>
  <c r="C86" i="1"/>
  <c r="H85" i="1"/>
  <c r="G85" i="1"/>
  <c r="D85" i="1"/>
  <c r="C85" i="1"/>
  <c r="H84" i="1"/>
  <c r="G84" i="1"/>
  <c r="D84" i="1"/>
  <c r="C84" i="1"/>
  <c r="H83" i="1"/>
  <c r="G83" i="1"/>
  <c r="D83" i="1"/>
  <c r="C83" i="1"/>
  <c r="H82" i="1"/>
  <c r="G82" i="1"/>
  <c r="D82" i="1"/>
  <c r="C82" i="1"/>
  <c r="H81" i="1"/>
  <c r="G81" i="1"/>
  <c r="D81" i="1"/>
  <c r="C81" i="1"/>
  <c r="H80" i="1"/>
  <c r="G80" i="1"/>
  <c r="D80" i="1"/>
  <c r="C80" i="1"/>
  <c r="H79" i="1"/>
  <c r="G79" i="1"/>
  <c r="D79" i="1"/>
  <c r="C79" i="1"/>
  <c r="H78" i="1"/>
  <c r="G78" i="1"/>
  <c r="D78" i="1"/>
  <c r="C78" i="1"/>
  <c r="H77" i="1"/>
  <c r="G77" i="1"/>
  <c r="D77" i="1"/>
  <c r="C77" i="1"/>
  <c r="H76" i="1"/>
  <c r="G76" i="1"/>
  <c r="D76" i="1"/>
  <c r="C76" i="1"/>
  <c r="H75" i="1"/>
  <c r="G75" i="1"/>
  <c r="D75" i="1"/>
  <c r="C75" i="1"/>
  <c r="H74" i="1"/>
  <c r="G74" i="1"/>
  <c r="D74" i="1"/>
  <c r="C74" i="1"/>
  <c r="H73" i="1"/>
  <c r="G73" i="1"/>
  <c r="D73" i="1"/>
  <c r="C73" i="1"/>
  <c r="H72" i="1"/>
  <c r="G72" i="1"/>
  <c r="D72" i="1"/>
  <c r="C72" i="1"/>
  <c r="H71" i="1"/>
  <c r="G71" i="1"/>
  <c r="D71" i="1"/>
  <c r="C71" i="1"/>
  <c r="H70" i="1"/>
  <c r="G70" i="1"/>
  <c r="D70" i="1"/>
  <c r="C70" i="1"/>
  <c r="H69" i="1"/>
  <c r="G69" i="1"/>
  <c r="D69" i="1"/>
  <c r="C69" i="1"/>
  <c r="H68" i="1"/>
  <c r="G68" i="1"/>
  <c r="D68" i="1"/>
  <c r="C68" i="1"/>
  <c r="H67" i="1"/>
  <c r="G67" i="1"/>
  <c r="D67" i="1"/>
  <c r="C67" i="1"/>
  <c r="H66" i="1"/>
  <c r="G66" i="1"/>
  <c r="D66" i="1"/>
  <c r="C66" i="1"/>
  <c r="H65" i="1"/>
  <c r="G65" i="1"/>
  <c r="D65" i="1"/>
  <c r="C65" i="1"/>
  <c r="H64" i="1"/>
  <c r="G64" i="1"/>
  <c r="D64" i="1"/>
  <c r="C64" i="1"/>
  <c r="H63" i="1"/>
  <c r="G63" i="1"/>
  <c r="D63" i="1"/>
  <c r="C63" i="1"/>
  <c r="H62" i="1"/>
  <c r="G62" i="1"/>
  <c r="D62" i="1"/>
  <c r="C62" i="1"/>
  <c r="H61" i="1"/>
  <c r="G61" i="1"/>
  <c r="D61" i="1"/>
  <c r="C61" i="1"/>
  <c r="H60" i="1"/>
  <c r="G60" i="1"/>
  <c r="D60" i="1"/>
  <c r="C60" i="1"/>
  <c r="H59" i="1"/>
  <c r="G59" i="1"/>
  <c r="D59" i="1"/>
  <c r="C59" i="1"/>
  <c r="H58" i="1"/>
  <c r="G58" i="1"/>
  <c r="D58" i="1"/>
  <c r="C58" i="1"/>
  <c r="H57" i="1"/>
  <c r="G57" i="1"/>
  <c r="D57" i="1"/>
  <c r="C57" i="1"/>
  <c r="H56" i="1"/>
  <c r="G56" i="1"/>
  <c r="D56" i="1"/>
  <c r="C56" i="1"/>
  <c r="H55" i="1"/>
  <c r="G55" i="1"/>
  <c r="D55" i="1"/>
  <c r="C55" i="1"/>
  <c r="H54" i="1"/>
  <c r="G54" i="1"/>
  <c r="D54" i="1"/>
  <c r="C54" i="1"/>
  <c r="H53" i="1"/>
  <c r="G53" i="1"/>
  <c r="D53" i="1"/>
  <c r="C53" i="1"/>
  <c r="H52" i="1"/>
  <c r="G52" i="1"/>
  <c r="D52" i="1"/>
  <c r="C52" i="1"/>
  <c r="H51" i="1"/>
  <c r="G51" i="1"/>
  <c r="D51" i="1"/>
  <c r="C51" i="1"/>
  <c r="H50" i="1"/>
  <c r="G50" i="1"/>
  <c r="D50" i="1"/>
  <c r="C50" i="1"/>
  <c r="H49" i="1"/>
  <c r="G49" i="1"/>
  <c r="D49" i="1"/>
  <c r="C49" i="1"/>
  <c r="H48" i="1"/>
  <c r="G48" i="1"/>
  <c r="D48" i="1"/>
  <c r="C48" i="1"/>
  <c r="H47" i="1"/>
  <c r="G47" i="1"/>
  <c r="D47" i="1"/>
  <c r="C47" i="1"/>
  <c r="H46" i="1"/>
  <c r="G46" i="1"/>
  <c r="D46" i="1"/>
  <c r="C46" i="1"/>
  <c r="H45" i="1"/>
  <c r="G45" i="1"/>
  <c r="D45" i="1"/>
  <c r="C45" i="1"/>
  <c r="H44" i="1"/>
  <c r="G44" i="1"/>
  <c r="D44" i="1"/>
  <c r="C44" i="1"/>
  <c r="H43" i="1"/>
  <c r="G43" i="1"/>
  <c r="D43" i="1"/>
  <c r="C43" i="1"/>
  <c r="H42" i="1"/>
  <c r="G42" i="1"/>
  <c r="D42" i="1"/>
  <c r="C42" i="1"/>
  <c r="H41" i="1"/>
  <c r="G41" i="1"/>
  <c r="D41" i="1"/>
  <c r="C41" i="1"/>
  <c r="H40" i="1"/>
  <c r="G40" i="1"/>
  <c r="D40" i="1"/>
  <c r="C40" i="1"/>
  <c r="H39" i="1"/>
  <c r="G39" i="1"/>
  <c r="D39" i="1"/>
  <c r="C39" i="1"/>
  <c r="H38" i="1"/>
  <c r="G38" i="1"/>
  <c r="D38" i="1"/>
  <c r="C38" i="1"/>
  <c r="H37" i="1"/>
  <c r="G37" i="1"/>
  <c r="D37" i="1"/>
  <c r="C37" i="1"/>
  <c r="H36" i="1"/>
  <c r="G36" i="1"/>
  <c r="D36" i="1"/>
  <c r="C36" i="1"/>
  <c r="H35" i="1"/>
  <c r="G35" i="1"/>
  <c r="D35" i="1"/>
  <c r="C35" i="1"/>
  <c r="H34" i="1"/>
  <c r="G34" i="1"/>
  <c r="D34" i="1"/>
  <c r="C34" i="1"/>
  <c r="H33" i="1"/>
  <c r="G33" i="1"/>
  <c r="D33" i="1"/>
  <c r="C33" i="1"/>
  <c r="H32" i="1"/>
  <c r="G32" i="1"/>
  <c r="D32" i="1"/>
  <c r="C32" i="1"/>
  <c r="H31" i="1"/>
  <c r="G31" i="1"/>
  <c r="D31" i="1"/>
  <c r="C31" i="1"/>
  <c r="H30" i="1"/>
  <c r="G30" i="1"/>
  <c r="D30" i="1"/>
  <c r="C30" i="1"/>
  <c r="H29" i="1"/>
  <c r="G29" i="1"/>
  <c r="D29" i="1"/>
  <c r="C29" i="1"/>
  <c r="H28" i="1"/>
  <c r="G28" i="1"/>
  <c r="D28" i="1"/>
  <c r="C28" i="1"/>
  <c r="H27" i="1"/>
  <c r="G27" i="1"/>
  <c r="D27" i="1"/>
  <c r="C27" i="1"/>
  <c r="H26" i="1"/>
  <c r="G26" i="1"/>
  <c r="D26" i="1"/>
  <c r="C26" i="1"/>
  <c r="H25" i="1"/>
  <c r="G25" i="1"/>
  <c r="D25" i="1"/>
  <c r="C25" i="1"/>
  <c r="H24" i="1"/>
  <c r="G24" i="1"/>
  <c r="D24" i="1"/>
  <c r="C24" i="1"/>
  <c r="H23" i="1"/>
  <c r="G23" i="1"/>
  <c r="D23" i="1"/>
  <c r="C23" i="1"/>
  <c r="H22" i="1"/>
  <c r="G22" i="1"/>
  <c r="D22" i="1"/>
  <c r="C22" i="1"/>
  <c r="H21" i="1"/>
  <c r="G21" i="1"/>
  <c r="D21" i="1"/>
  <c r="C21" i="1"/>
  <c r="H20" i="1"/>
  <c r="G20" i="1"/>
  <c r="D20" i="1"/>
  <c r="C20" i="1"/>
  <c r="H19" i="1"/>
  <c r="G19" i="1"/>
  <c r="D19" i="1"/>
  <c r="C19" i="1"/>
  <c r="H18" i="1"/>
  <c r="G18" i="1"/>
  <c r="D18" i="1"/>
  <c r="C18" i="1"/>
  <c r="H17" i="1"/>
  <c r="G17" i="1"/>
  <c r="D17" i="1"/>
  <c r="C17" i="1"/>
  <c r="H16" i="1"/>
  <c r="G16" i="1"/>
  <c r="D16" i="1"/>
  <c r="C16" i="1"/>
  <c r="H15" i="1"/>
  <c r="G15" i="1"/>
  <c r="D15" i="1"/>
  <c r="C15" i="1"/>
  <c r="H14" i="1"/>
  <c r="G14" i="1"/>
  <c r="D14" i="1"/>
  <c r="C14" i="1"/>
  <c r="H13" i="1"/>
  <c r="G13" i="1"/>
  <c r="D13" i="1"/>
  <c r="C13" i="1"/>
  <c r="H12" i="1"/>
  <c r="G12" i="1"/>
  <c r="D12" i="1"/>
  <c r="C12" i="1"/>
  <c r="H11" i="1"/>
  <c r="G11" i="1"/>
  <c r="D11" i="1"/>
  <c r="C11" i="1"/>
  <c r="H10" i="1"/>
  <c r="G10" i="1"/>
  <c r="D10" i="1"/>
  <c r="C10" i="1"/>
</calcChain>
</file>

<file path=xl/sharedStrings.xml><?xml version="1.0" encoding="utf-8"?>
<sst xmlns="http://schemas.openxmlformats.org/spreadsheetml/2006/main" count="1577" uniqueCount="530">
  <si>
    <t xml:space="preserve">прогрев с накалом </t>
  </si>
  <si>
    <t>16.03.22 накал</t>
  </si>
  <si>
    <t>концентрация</t>
  </si>
  <si>
    <t>1) Time, sec.</t>
  </si>
  <si>
    <t>2) Voltage, mV</t>
  </si>
  <si>
    <t>ток</t>
  </si>
  <si>
    <t>темпер</t>
  </si>
  <si>
    <t>Т,К</t>
  </si>
  <si>
    <t>10^12</t>
  </si>
  <si>
    <t>мкА</t>
  </si>
  <si>
    <t>n</t>
  </si>
  <si>
    <t>0.00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</si>
  <si>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</si>
  <si>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</si>
  <si>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</si>
  <si>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</si>
  <si>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</si>
  <si>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</si>
  <si>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</si>
  <si>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</si>
  <si>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</si>
  <si>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</si>
  <si>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</si>
  <si>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</si>
  <si>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</si>
  <si>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</si>
  <si>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</si>
  <si>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</si>
  <si>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</si>
  <si>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</si>
  <si>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</si>
  <si>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</si>
  <si>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</si>
  <si>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</si>
  <si>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</si>
  <si>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24.00</t>
  </si>
  <si>
    <t>25.00</t>
  </si>
  <si>
    <t>26.00</t>
  </si>
  <si>
    <t>27.00</t>
  </si>
  <si>
    <t>28.00</t>
  </si>
  <si>
    <t>29.00</t>
  </si>
  <si>
    <t>30.00</t>
  </si>
  <si>
    <t>31.00</t>
  </si>
  <si>
    <t>32.00</t>
  </si>
  <si>
    <t>33.00</t>
  </si>
  <si>
    <t>34.00</t>
  </si>
  <si>
    <t>35.00</t>
  </si>
  <si>
    <t>36.00</t>
  </si>
  <si>
    <t>37.00</t>
  </si>
  <si>
    <t>38.00</t>
  </si>
  <si>
    <t>39.00</t>
  </si>
  <si>
    <t>40.00</t>
  </si>
  <si>
    <t>41.00</t>
  </si>
  <si>
    <t>42.00</t>
  </si>
  <si>
    <t>43.00</t>
  </si>
  <si>
    <t>44.00</t>
  </si>
  <si>
    <t>45.00</t>
  </si>
  <si>
    <t>46.00</t>
  </si>
  <si>
    <t>47.00</t>
  </si>
  <si>
    <t>48.00</t>
  </si>
  <si>
    <t>49.00</t>
  </si>
  <si>
    <t>50.00</t>
  </si>
  <si>
    <t>51.00</t>
  </si>
  <si>
    <t>52.00</t>
  </si>
  <si>
    <t>53.00</t>
  </si>
  <si>
    <t>54.00</t>
  </si>
  <si>
    <t>55.00</t>
  </si>
  <si>
    <t>56.00</t>
  </si>
  <si>
    <t>57.00</t>
  </si>
  <si>
    <t>58.00</t>
  </si>
  <si>
    <t>59.00</t>
  </si>
  <si>
    <t>60.00</t>
  </si>
  <si>
    <t>61.00</t>
  </si>
  <si>
    <t>62.00</t>
  </si>
  <si>
    <t>63.00</t>
  </si>
  <si>
    <t>64.00</t>
  </si>
  <si>
    <t>65.00</t>
  </si>
  <si>
    <t>66.00</t>
  </si>
  <si>
    <t>67.00</t>
  </si>
  <si>
    <t>68.00</t>
  </si>
  <si>
    <t>69.00</t>
  </si>
  <si>
    <t>70.00</t>
  </si>
  <si>
    <t>71.00</t>
  </si>
  <si>
    <t>72.00</t>
  </si>
  <si>
    <t>73.00</t>
  </si>
  <si>
    <t>74.00</t>
  </si>
  <si>
    <t>75.00</t>
  </si>
  <si>
    <t>76.00</t>
  </si>
  <si>
    <t>77.00</t>
  </si>
  <si>
    <t>78.00</t>
  </si>
  <si>
    <t>79.00</t>
  </si>
  <si>
    <t>80.00</t>
  </si>
  <si>
    <t>81.00</t>
  </si>
  <si>
    <t>82.00</t>
  </si>
  <si>
    <t>83.00</t>
  </si>
  <si>
    <t>84.00</t>
  </si>
  <si>
    <t>85.00</t>
  </si>
  <si>
    <t>86.00</t>
  </si>
  <si>
    <t>87.00</t>
  </si>
  <si>
    <t>88.00</t>
  </si>
  <si>
    <t>89.00</t>
  </si>
  <si>
    <t>90.00</t>
  </si>
  <si>
    <t>91.00</t>
  </si>
  <si>
    <t>92.00</t>
  </si>
  <si>
    <t>93.00</t>
  </si>
  <si>
    <t>94.00</t>
  </si>
  <si>
    <t>95.00</t>
  </si>
  <si>
    <t>96.00</t>
  </si>
  <si>
    <t>97.00</t>
  </si>
  <si>
    <t>98.00</t>
  </si>
  <si>
    <t>99.00</t>
  </si>
  <si>
    <t>100.00</t>
  </si>
  <si>
    <t>101.00</t>
  </si>
  <si>
    <t>102.00</t>
  </si>
  <si>
    <t>103.00</t>
  </si>
  <si>
    <t>104.00</t>
  </si>
  <si>
    <t>105.00</t>
  </si>
  <si>
    <t>106.00</t>
  </si>
  <si>
    <t>107.00</t>
  </si>
  <si>
    <t>108.00</t>
  </si>
  <si>
    <t>109.00</t>
  </si>
  <si>
    <t>110.00</t>
  </si>
  <si>
    <t>111.00</t>
  </si>
  <si>
    <t>112.00</t>
  </si>
  <si>
    <t>113.00</t>
  </si>
  <si>
    <t>114.00</t>
  </si>
  <si>
    <t>115.00</t>
  </si>
  <si>
    <t>116.00</t>
  </si>
  <si>
    <t>117.00</t>
  </si>
  <si>
    <t>118.00</t>
  </si>
  <si>
    <t>119.00</t>
  </si>
  <si>
    <t>120.00</t>
  </si>
  <si>
    <t>121.00</t>
  </si>
  <si>
    <t>122.00</t>
  </si>
  <si>
    <t>123.00</t>
  </si>
  <si>
    <t>124.00</t>
  </si>
  <si>
    <t>125.00</t>
  </si>
  <si>
    <t>126.00</t>
  </si>
  <si>
    <t>127.00</t>
  </si>
  <si>
    <t>128.00</t>
  </si>
  <si>
    <t>129.00</t>
  </si>
  <si>
    <t>130.00</t>
  </si>
  <si>
    <t>131.00</t>
  </si>
  <si>
    <t>132.00</t>
  </si>
  <si>
    <t>133.00</t>
  </si>
  <si>
    <t>134.00</t>
  </si>
  <si>
    <t>135.00</t>
  </si>
  <si>
    <t>136.00</t>
  </si>
  <si>
    <t>137.00</t>
  </si>
  <si>
    <t>138.00</t>
  </si>
  <si>
    <t>139.00</t>
  </si>
  <si>
    <t>140.00</t>
  </si>
  <si>
    <t>141.00</t>
  </si>
  <si>
    <t>142.00</t>
  </si>
  <si>
    <t>143.00</t>
  </si>
  <si>
    <t>144.00</t>
  </si>
  <si>
    <t>145.00</t>
  </si>
  <si>
    <t>146.00</t>
  </si>
  <si>
    <t>147.00</t>
  </si>
  <si>
    <t>148.00</t>
  </si>
  <si>
    <t>149.00</t>
  </si>
  <si>
    <t>150.00</t>
  </si>
  <si>
    <t>151.00</t>
  </si>
  <si>
    <t>152.00</t>
  </si>
  <si>
    <t>153.00</t>
  </si>
  <si>
    <t>154.00</t>
  </si>
  <si>
    <t>155.00</t>
  </si>
  <si>
    <t>156.00</t>
  </si>
  <si>
    <t>157.00</t>
  </si>
  <si>
    <t>158.00</t>
  </si>
  <si>
    <t>159.00</t>
  </si>
  <si>
    <t>160.00</t>
  </si>
  <si>
    <t>161.00</t>
  </si>
  <si>
    <t>162.00</t>
  </si>
  <si>
    <t>163.00</t>
  </si>
  <si>
    <t>164.00</t>
  </si>
  <si>
    <t>165.00</t>
  </si>
  <si>
    <t>166.00</t>
  </si>
  <si>
    <t>167.00</t>
  </si>
  <si>
    <t>168.00</t>
  </si>
  <si>
    <t>169.00</t>
  </si>
  <si>
    <t>170.00</t>
  </si>
  <si>
    <t>171.00</t>
  </si>
  <si>
    <t>172.00</t>
  </si>
  <si>
    <t>173.00</t>
  </si>
  <si>
    <t>174.00</t>
  </si>
  <si>
    <t>175.00</t>
  </si>
  <si>
    <t>176.00</t>
  </si>
  <si>
    <t>177.00</t>
  </si>
  <si>
    <t>178.00</t>
  </si>
  <si>
    <t>179.00</t>
  </si>
  <si>
    <t>180.00</t>
  </si>
  <si>
    <t>181.00</t>
  </si>
  <si>
    <t>182.00</t>
  </si>
  <si>
    <t>183.00</t>
  </si>
  <si>
    <t>184.00</t>
  </si>
  <si>
    <t>185.00</t>
  </si>
  <si>
    <t>186.00</t>
  </si>
  <si>
    <t>187.00</t>
  </si>
  <si>
    <t>188.00</t>
  </si>
  <si>
    <t>189.00</t>
  </si>
  <si>
    <t>190.00</t>
  </si>
  <si>
    <t>191.00</t>
  </si>
  <si>
    <t>192.00</t>
  </si>
  <si>
    <t>193.00</t>
  </si>
  <si>
    <t>194.00</t>
  </si>
  <si>
    <t>195.00</t>
  </si>
  <si>
    <t>196.00</t>
  </si>
  <si>
    <t>197.00</t>
  </si>
  <si>
    <t>198.00</t>
  </si>
  <si>
    <t>199.00</t>
  </si>
  <si>
    <t>200.00</t>
  </si>
  <si>
    <t>201.00</t>
  </si>
  <si>
    <t>202.00</t>
  </si>
  <si>
    <t>203.00</t>
  </si>
  <si>
    <t>204.00</t>
  </si>
  <si>
    <t>205.00</t>
  </si>
  <si>
    <t>206.00</t>
  </si>
  <si>
    <t>207.00</t>
  </si>
  <si>
    <t>208.00</t>
  </si>
  <si>
    <t>209.00</t>
  </si>
  <si>
    <t>210.00</t>
  </si>
  <si>
    <t>211.00</t>
  </si>
  <si>
    <t>212.00</t>
  </si>
  <si>
    <t>213.00</t>
  </si>
  <si>
    <t>214.00</t>
  </si>
  <si>
    <t>215.00</t>
  </si>
  <si>
    <t>216.00</t>
  </si>
  <si>
    <t>217.00</t>
  </si>
  <si>
    <t>218.00</t>
  </si>
  <si>
    <t>219.00</t>
  </si>
  <si>
    <t>220.00</t>
  </si>
  <si>
    <t>221.00</t>
  </si>
  <si>
    <t>222.00</t>
  </si>
  <si>
    <t>223.00</t>
  </si>
  <si>
    <t>224.00</t>
  </si>
  <si>
    <t>225.00</t>
  </si>
  <si>
    <t>226.00</t>
  </si>
  <si>
    <t>227.00</t>
  </si>
  <si>
    <t>228.00</t>
  </si>
  <si>
    <t>229.00</t>
  </si>
  <si>
    <t>230.00</t>
  </si>
  <si>
    <t>231.00</t>
  </si>
  <si>
    <t>232.00</t>
  </si>
  <si>
    <t>233.00</t>
  </si>
  <si>
    <t>234.00</t>
  </si>
  <si>
    <t>235.00</t>
  </si>
  <si>
    <t>236.00</t>
  </si>
  <si>
    <t>237.00</t>
  </si>
  <si>
    <t>238.00</t>
  </si>
  <si>
    <t>239.00</t>
  </si>
  <si>
    <t>240.00</t>
  </si>
  <si>
    <t>241.00</t>
  </si>
  <si>
    <t>242.00</t>
  </si>
  <si>
    <t>243.00</t>
  </si>
  <si>
    <t>244.00</t>
  </si>
  <si>
    <t>245.00</t>
  </si>
  <si>
    <t>246.00</t>
  </si>
  <si>
    <t>247.00</t>
  </si>
  <si>
    <t>248.00</t>
  </si>
  <si>
    <t>249.00</t>
  </si>
  <si>
    <t>250.00</t>
  </si>
  <si>
    <t>251.00</t>
  </si>
  <si>
    <t>252.00</t>
  </si>
  <si>
    <t>253.00</t>
  </si>
  <si>
    <t>254.00</t>
  </si>
  <si>
    <t>255.00</t>
  </si>
  <si>
    <t>256.00</t>
  </si>
  <si>
    <t>257.00</t>
  </si>
  <si>
    <t>258.00</t>
  </si>
  <si>
    <t>259.00</t>
  </si>
  <si>
    <t>260.00</t>
  </si>
  <si>
    <t>261.00</t>
  </si>
  <si>
    <t>262.00</t>
  </si>
  <si>
    <t>263.00</t>
  </si>
  <si>
    <t>264.00</t>
  </si>
  <si>
    <t>265.00</t>
  </si>
  <si>
    <t>266.00</t>
  </si>
  <si>
    <t>267.00</t>
  </si>
  <si>
    <t>268.00</t>
  </si>
  <si>
    <t>269.00</t>
  </si>
  <si>
    <t>270.00</t>
  </si>
  <si>
    <t>271.00</t>
  </si>
  <si>
    <t>272.00</t>
  </si>
  <si>
    <t>273.00</t>
  </si>
  <si>
    <t>274.00</t>
  </si>
  <si>
    <t>275.00</t>
  </si>
  <si>
    <t>276.00</t>
  </si>
  <si>
    <t>277.00</t>
  </si>
  <si>
    <t>278.00</t>
  </si>
  <si>
    <t>279.00</t>
  </si>
  <si>
    <t>280.00</t>
  </si>
  <si>
    <t>281.00</t>
  </si>
  <si>
    <t>282.00</t>
  </si>
  <si>
    <t>283.00</t>
  </si>
  <si>
    <t>284.00</t>
  </si>
  <si>
    <t>285.00</t>
  </si>
  <si>
    <t>286.00</t>
  </si>
  <si>
    <t>287.00</t>
  </si>
  <si>
    <t>288.00</t>
  </si>
  <si>
    <t>289.00</t>
  </si>
  <si>
    <t>290.00</t>
  </si>
  <si>
    <t>291.00</t>
  </si>
  <si>
    <t>292.00</t>
  </si>
  <si>
    <t>293.00</t>
  </si>
  <si>
    <t>294.00</t>
  </si>
  <si>
    <t>295.00</t>
  </si>
  <si>
    <t>296.00</t>
  </si>
  <si>
    <t>297.00</t>
  </si>
  <si>
    <t>298.00</t>
  </si>
  <si>
    <t>299.00</t>
  </si>
  <si>
    <t>300.00</t>
  </si>
  <si>
    <t>301.00</t>
  </si>
  <si>
    <t>302.00</t>
  </si>
  <si>
    <t>303.00</t>
  </si>
  <si>
    <t>304.00</t>
  </si>
  <si>
    <t>305.00</t>
  </si>
  <si>
    <t>306.00</t>
  </si>
  <si>
    <t>307.00</t>
  </si>
  <si>
    <t>308.00</t>
  </si>
  <si>
    <t>309.00</t>
  </si>
  <si>
    <t>310.00</t>
  </si>
  <si>
    <t>311.00</t>
  </si>
  <si>
    <t>312.00</t>
  </si>
  <si>
    <t>313.00</t>
  </si>
  <si>
    <t>314.00</t>
  </si>
  <si>
    <t>315.00</t>
  </si>
  <si>
    <t>316.00</t>
  </si>
  <si>
    <t>317.00</t>
  </si>
  <si>
    <t>318.00</t>
  </si>
  <si>
    <t>319.00</t>
  </si>
  <si>
    <t>320.00</t>
  </si>
  <si>
    <t>321.00</t>
  </si>
  <si>
    <t>322.00</t>
  </si>
  <si>
    <t>323.00</t>
  </si>
  <si>
    <t>324.00</t>
  </si>
  <si>
    <t>325.00</t>
  </si>
  <si>
    <t>326.00</t>
  </si>
  <si>
    <t>327.00</t>
  </si>
  <si>
    <t>328.00</t>
  </si>
  <si>
    <t>329.00</t>
  </si>
  <si>
    <t>330.00</t>
  </si>
  <si>
    <t>331.00</t>
  </si>
  <si>
    <t>332.00</t>
  </si>
  <si>
    <t>333.00</t>
  </si>
  <si>
    <t>334.00</t>
  </si>
  <si>
    <t>335.00</t>
  </si>
  <si>
    <t>336.00</t>
  </si>
  <si>
    <t>337.00</t>
  </si>
  <si>
    <t>338.00</t>
  </si>
  <si>
    <t>339.00</t>
  </si>
  <si>
    <t>340.00</t>
  </si>
  <si>
    <t>341.00</t>
  </si>
  <si>
    <t>342.00</t>
  </si>
  <si>
    <t>343.00</t>
  </si>
  <si>
    <t>344.00</t>
  </si>
  <si>
    <t>345.00</t>
  </si>
  <si>
    <t>346.00</t>
  </si>
  <si>
    <t>347.00</t>
  </si>
  <si>
    <t>348.00</t>
  </si>
  <si>
    <t>349.00</t>
  </si>
  <si>
    <t>350.00</t>
  </si>
  <si>
    <t>351.00</t>
  </si>
  <si>
    <t>352.00</t>
  </si>
  <si>
    <t>353.00</t>
  </si>
  <si>
    <t>354.00</t>
  </si>
  <si>
    <t>355.00</t>
  </si>
  <si>
    <t>356.00</t>
  </si>
  <si>
    <t>357.00</t>
  </si>
  <si>
    <t>358.00</t>
  </si>
  <si>
    <t>359.00</t>
  </si>
  <si>
    <t>360.00</t>
  </si>
  <si>
    <t>361.00</t>
  </si>
  <si>
    <t>362.00</t>
  </si>
  <si>
    <t>363.00</t>
  </si>
  <si>
    <t>364.00</t>
  </si>
  <si>
    <t>365.00</t>
  </si>
  <si>
    <t>366.00</t>
  </si>
  <si>
    <t>367.00</t>
  </si>
  <si>
    <t>368.00</t>
  </si>
  <si>
    <t>369.00</t>
  </si>
  <si>
    <t>370.00</t>
  </si>
  <si>
    <t>371.00</t>
  </si>
  <si>
    <t>372.00</t>
  </si>
  <si>
    <t>373.00</t>
  </si>
  <si>
    <t>374.00</t>
  </si>
  <si>
    <t>375.00</t>
  </si>
  <si>
    <t>376.00</t>
  </si>
  <si>
    <t>377.00</t>
  </si>
  <si>
    <t>378.00</t>
  </si>
  <si>
    <t>379.00</t>
  </si>
  <si>
    <t>380.00</t>
  </si>
  <si>
    <t>381.00</t>
  </si>
  <si>
    <t>382.00</t>
  </si>
  <si>
    <t>383.00</t>
  </si>
  <si>
    <t>384.00</t>
  </si>
  <si>
    <t>385.00</t>
  </si>
  <si>
    <t>386.00</t>
  </si>
  <si>
    <t>387.00</t>
  </si>
  <si>
    <t>388.00</t>
  </si>
  <si>
    <t>389.00</t>
  </si>
  <si>
    <t>390.00</t>
  </si>
  <si>
    <t>391.00</t>
  </si>
  <si>
    <t>392.00</t>
  </si>
  <si>
    <t>393.00</t>
  </si>
  <si>
    <t>394.00</t>
  </si>
  <si>
    <t>395.00</t>
  </si>
  <si>
    <t>396.00</t>
  </si>
  <si>
    <t>397.00</t>
  </si>
  <si>
    <t>398.00</t>
  </si>
  <si>
    <t>399.00</t>
  </si>
  <si>
    <t>400.00</t>
  </si>
  <si>
    <t>401.00</t>
  </si>
  <si>
    <t>402.00</t>
  </si>
  <si>
    <t>403.00</t>
  </si>
  <si>
    <t>404.00</t>
  </si>
  <si>
    <t>405.00</t>
  </si>
  <si>
    <t>406.00</t>
  </si>
  <si>
    <t>407.00</t>
  </si>
  <si>
    <t>408.00</t>
  </si>
  <si>
    <t>409.00</t>
  </si>
  <si>
    <t>410.00</t>
  </si>
  <si>
    <t>411.00</t>
  </si>
  <si>
    <t>412.00</t>
  </si>
  <si>
    <t>413.00</t>
  </si>
  <si>
    <t>414.00</t>
  </si>
  <si>
    <t>415.00</t>
  </si>
  <si>
    <t>416.00</t>
  </si>
  <si>
    <t>417.00</t>
  </si>
  <si>
    <t>418.00</t>
  </si>
  <si>
    <t>419.00</t>
  </si>
  <si>
    <t>420.00</t>
  </si>
  <si>
    <t>421.00</t>
  </si>
  <si>
    <t>422.00</t>
  </si>
  <si>
    <t>423.00</t>
  </si>
  <si>
    <t>424.00</t>
  </si>
  <si>
    <t>425.00</t>
  </si>
  <si>
    <t>426.00</t>
  </si>
  <si>
    <t>427.00</t>
  </si>
  <si>
    <t>428.00</t>
  </si>
  <si>
    <t>429.00</t>
  </si>
  <si>
    <t>430.00</t>
  </si>
  <si>
    <t>431.00</t>
  </si>
  <si>
    <t>432.00</t>
  </si>
  <si>
    <t>433.00</t>
  </si>
  <si>
    <t>434.00</t>
  </si>
  <si>
    <t>435.00</t>
  </si>
  <si>
    <t>436.00</t>
  </si>
  <si>
    <t>437.00</t>
  </si>
  <si>
    <t>438.00</t>
  </si>
  <si>
    <t>439.00</t>
  </si>
  <si>
    <t>440.00</t>
  </si>
  <si>
    <t>441.00</t>
  </si>
  <si>
    <t>442.00</t>
  </si>
  <si>
    <t>443.00</t>
  </si>
  <si>
    <t>444.00</t>
  </si>
  <si>
    <t>445.00</t>
  </si>
  <si>
    <t>446.00</t>
  </si>
  <si>
    <t>447.00</t>
  </si>
  <si>
    <t>448.00</t>
  </si>
  <si>
    <t>449.00</t>
  </si>
  <si>
    <t>450.00</t>
  </si>
  <si>
    <t>451.00</t>
  </si>
  <si>
    <t>452.00</t>
  </si>
  <si>
    <t>453.00</t>
  </si>
  <si>
    <t>454.00</t>
  </si>
  <si>
    <t>455.00</t>
  </si>
  <si>
    <t>456.00</t>
  </si>
  <si>
    <t>457.00</t>
  </si>
  <si>
    <t>458.00</t>
  </si>
  <si>
    <t>459.00</t>
  </si>
  <si>
    <t>460.00</t>
  </si>
  <si>
    <t>461.00</t>
  </si>
  <si>
    <t>462.00</t>
  </si>
  <si>
    <t>463.00</t>
  </si>
  <si>
    <t>464.00</t>
  </si>
  <si>
    <t>465.00</t>
  </si>
  <si>
    <t>466.00</t>
  </si>
  <si>
    <t>467.00</t>
  </si>
  <si>
    <t>468.00</t>
  </si>
  <si>
    <t>469.00</t>
  </si>
  <si>
    <t>470.00</t>
  </si>
  <si>
    <t>471.00</t>
  </si>
  <si>
    <t>472.00</t>
  </si>
  <si>
    <t>473.00</t>
  </si>
  <si>
    <t>474.00</t>
  </si>
  <si>
    <t>475.00</t>
  </si>
  <si>
    <t>476.00</t>
  </si>
  <si>
    <t>477.00</t>
  </si>
  <si>
    <t>478.00</t>
  </si>
  <si>
    <t>479.00</t>
  </si>
  <si>
    <t>480.00</t>
  </si>
  <si>
    <t>481.00</t>
  </si>
  <si>
    <t>482.00</t>
  </si>
  <si>
    <t>483.00</t>
  </si>
  <si>
    <t>484.00</t>
  </si>
  <si>
    <t>485.00</t>
  </si>
  <si>
    <t>486.00</t>
  </si>
  <si>
    <t>487.00</t>
  </si>
  <si>
    <t>488.00</t>
  </si>
  <si>
    <t>489.00</t>
  </si>
  <si>
    <t>490.00</t>
  </si>
  <si>
    <t>491.00</t>
  </si>
  <si>
    <t>492.00</t>
  </si>
  <si>
    <t>493.00</t>
  </si>
  <si>
    <t>494.00</t>
  </si>
  <si>
    <t>495.00</t>
  </si>
  <si>
    <t>496.00</t>
  </si>
  <si>
    <t>497.00</t>
  </si>
  <si>
    <t>498.00</t>
  </si>
  <si>
    <t>499.00</t>
  </si>
  <si>
    <t>500.00</t>
  </si>
  <si>
    <t>501.00</t>
  </si>
  <si>
    <t>502.00</t>
  </si>
  <si>
    <t>503.00</t>
  </si>
  <si>
    <t>504.00</t>
  </si>
  <si>
    <t>505.00</t>
  </si>
  <si>
    <t>506.00</t>
  </si>
  <si>
    <t>507.00</t>
  </si>
  <si>
    <t>508.00</t>
  </si>
  <si>
    <t>509.00</t>
  </si>
  <si>
    <t>510.00</t>
  </si>
  <si>
    <t>511.00</t>
  </si>
  <si>
    <t>C</t>
  </si>
  <si>
    <t>cm-3</t>
  </si>
  <si>
    <t>Q= 36кДж/моль</t>
  </si>
  <si>
    <t>Q= 374 мэВ</t>
  </si>
  <si>
    <t>ln(n^2)</t>
  </si>
  <si>
    <t>1000/T</t>
  </si>
  <si>
    <t>Q=34,6 кДж/моль=360 мэВ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</si>
</sst>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ln(n^2) </a:t>
            </a:r>
            <a:r>
              <a:rPr lang="ru-RU"/>
              <a:t>от</a:t>
            </a:r>
            <a:r>
              <a:rPr lang="en-US" baseline="0"/>
              <a:t> 1000</a:t>
            </a:r>
            <a:r>
              <a:rPr lang="ru-RU" baseline="0"/>
              <a:t>/</a:t>
            </a:r>
            <a:r>
              <a:rPr lang="en-US" baseline="0"/>
              <a:t>T</a:t>
            </a:r>
            <a:endParaRPr lang="en-US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15419072615923"/>
          <c:y val="4.3242639224552376E-2"/>
          <c:w val="0.83776837270341209"/>
          <c:h val="0.8806792962760843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Лист1!$K$1:$K$9</c:f>
              <c:strCache>
                <c:ptCount val="1"/>
                <c:pt idx="0">
                  <c:v>прогрев с накалом  16.03.22 накал концентрация cm-3 ln(n^2) n</c:v>
                </c:pt>
              </c:strCache>
            </c:strRef>
          </c:tx>
          <c:marker>
            <c:symbol val="circle"/>
            <c:size val="3"/>
          </c:marker>
          <c:xVal>
            <c:numRef>
              <c:f>Лист1!$J$10:$J$521</c:f>
              <c:numCache>
                <c:formatCode>0.00</c:formatCode>
                <c:ptCount val="512"/>
                <c:pt idx="0">
                  <c:v>2.6462026991267531</c:v>
                </c:pt>
                <c:pt idx="1">
                  <c:v>2.6462026991267531</c:v>
                </c:pt>
                <c:pt idx="2">
                  <c:v>2.6462026991267531</c:v>
                </c:pt>
                <c:pt idx="3">
                  <c:v>2.6497085320614735</c:v>
                </c:pt>
                <c:pt idx="4">
                  <c:v>2.6497085320614735</c:v>
                </c:pt>
                <c:pt idx="5">
                  <c:v>2.6497085320614735</c:v>
                </c:pt>
                <c:pt idx="6">
                  <c:v>2.6525198938992043</c:v>
                </c:pt>
                <c:pt idx="7">
                  <c:v>2.6525198938992043</c:v>
                </c:pt>
                <c:pt idx="8">
                  <c:v>2.6525198938992043</c:v>
                </c:pt>
                <c:pt idx="9">
                  <c:v>2.656748140276302</c:v>
                </c:pt>
                <c:pt idx="10">
                  <c:v>2.656748140276302</c:v>
                </c:pt>
                <c:pt idx="11">
                  <c:v>2.656748140276302</c:v>
                </c:pt>
                <c:pt idx="12">
                  <c:v>2.6609898882384244</c:v>
                </c:pt>
                <c:pt idx="13">
                  <c:v>2.6609898882384244</c:v>
                </c:pt>
                <c:pt idx="14">
                  <c:v>2.6609898882384244</c:v>
                </c:pt>
                <c:pt idx="15">
                  <c:v>2.6609898882384244</c:v>
                </c:pt>
                <c:pt idx="16">
                  <c:v>2.6652452025586353</c:v>
                </c:pt>
                <c:pt idx="17">
                  <c:v>2.6652452025586353</c:v>
                </c:pt>
                <c:pt idx="18">
                  <c:v>2.6652452025586353</c:v>
                </c:pt>
                <c:pt idx="19">
                  <c:v>2.6680896478121663</c:v>
                </c:pt>
                <c:pt idx="20">
                  <c:v>2.6680896478121663</c:v>
                </c:pt>
                <c:pt idx="21">
                  <c:v>2.6680896478121663</c:v>
                </c:pt>
                <c:pt idx="22">
                  <c:v>2.6716537536735236</c:v>
                </c:pt>
                <c:pt idx="23">
                  <c:v>2.6716537536735236</c:v>
                </c:pt>
                <c:pt idx="24">
                  <c:v>2.6716537536735236</c:v>
                </c:pt>
                <c:pt idx="25">
                  <c:v>2.675943270002676</c:v>
                </c:pt>
                <c:pt idx="26">
                  <c:v>2.675943270002676</c:v>
                </c:pt>
                <c:pt idx="27">
                  <c:v>2.675943270002676</c:v>
                </c:pt>
                <c:pt idx="28">
                  <c:v>2.6809651474530831</c:v>
                </c:pt>
                <c:pt idx="29">
                  <c:v>2.6809651474530831</c:v>
                </c:pt>
                <c:pt idx="30">
                  <c:v>2.6809651474530831</c:v>
                </c:pt>
                <c:pt idx="31">
                  <c:v>2.6809651474530831</c:v>
                </c:pt>
                <c:pt idx="32">
                  <c:v>2.6860059092130002</c:v>
                </c:pt>
                <c:pt idx="33">
                  <c:v>2.6860059092130002</c:v>
                </c:pt>
                <c:pt idx="34">
                  <c:v>2.6860059092130002</c:v>
                </c:pt>
                <c:pt idx="35">
                  <c:v>2.6903416733925209</c:v>
                </c:pt>
                <c:pt idx="36">
                  <c:v>2.6903416733925209</c:v>
                </c:pt>
                <c:pt idx="37">
                  <c:v>2.6903416733925209</c:v>
                </c:pt>
                <c:pt idx="38">
                  <c:v>2.6939655172413794</c:v>
                </c:pt>
                <c:pt idx="39">
                  <c:v>2.6939655172413794</c:v>
                </c:pt>
                <c:pt idx="40">
                  <c:v>2.6939655172413794</c:v>
                </c:pt>
                <c:pt idx="41">
                  <c:v>2.698327037236913</c:v>
                </c:pt>
                <c:pt idx="42">
                  <c:v>2.698327037236913</c:v>
                </c:pt>
                <c:pt idx="43">
                  <c:v>2.698327037236913</c:v>
                </c:pt>
                <c:pt idx="44">
                  <c:v>2.7019724398811129</c:v>
                </c:pt>
                <c:pt idx="45">
                  <c:v>2.7019724398811129</c:v>
                </c:pt>
                <c:pt idx="46">
                  <c:v>2.7019724398811129</c:v>
                </c:pt>
                <c:pt idx="47">
                  <c:v>2.7019724398811129</c:v>
                </c:pt>
                <c:pt idx="48">
                  <c:v>2.7063599458728009</c:v>
                </c:pt>
                <c:pt idx="49">
                  <c:v>2.7063599458728009</c:v>
                </c:pt>
                <c:pt idx="50">
                  <c:v>2.7063599458728009</c:v>
                </c:pt>
                <c:pt idx="51">
                  <c:v>2.7100271002710028</c:v>
                </c:pt>
                <c:pt idx="52">
                  <c:v>2.7100271002710028</c:v>
                </c:pt>
                <c:pt idx="53">
                  <c:v>2.7100271002710028</c:v>
                </c:pt>
                <c:pt idx="54">
                  <c:v>2.7137042062415198</c:v>
                </c:pt>
                <c:pt idx="55">
                  <c:v>2.7137042062415198</c:v>
                </c:pt>
                <c:pt idx="56">
                  <c:v>2.7137042062415198</c:v>
                </c:pt>
                <c:pt idx="57">
                  <c:v>2.7181299266104921</c:v>
                </c:pt>
                <c:pt idx="58">
                  <c:v>2.7181299266104921</c:v>
                </c:pt>
                <c:pt idx="59">
                  <c:v>2.7181299266104921</c:v>
                </c:pt>
                <c:pt idx="60">
                  <c:v>2.7247956403269753</c:v>
                </c:pt>
                <c:pt idx="61">
                  <c:v>2.7247956403269753</c:v>
                </c:pt>
                <c:pt idx="62">
                  <c:v>2.7247956403269753</c:v>
                </c:pt>
                <c:pt idx="63">
                  <c:v>2.7247956403269753</c:v>
                </c:pt>
                <c:pt idx="64">
                  <c:v>2.7314941272876263</c:v>
                </c:pt>
                <c:pt idx="65">
                  <c:v>2.7314941272876263</c:v>
                </c:pt>
                <c:pt idx="66">
                  <c:v>2.7314941272876263</c:v>
                </c:pt>
                <c:pt idx="67">
                  <c:v>2.7359781121751028</c:v>
                </c:pt>
                <c:pt idx="68">
                  <c:v>2.7359781121751028</c:v>
                </c:pt>
                <c:pt idx="69">
                  <c:v>2.7359781121751028</c:v>
                </c:pt>
                <c:pt idx="70">
                  <c:v>2.740476842970677</c:v>
                </c:pt>
                <c:pt idx="71">
                  <c:v>2.740476842970677</c:v>
                </c:pt>
                <c:pt idx="72">
                  <c:v>2.740476842970677</c:v>
                </c:pt>
                <c:pt idx="73">
                  <c:v>2.7442371020856204</c:v>
                </c:pt>
                <c:pt idx="74">
                  <c:v>2.7442371020856204</c:v>
                </c:pt>
                <c:pt idx="75">
                  <c:v>2.7442371020856204</c:v>
                </c:pt>
                <c:pt idx="76">
                  <c:v>2.7487630566245187</c:v>
                </c:pt>
                <c:pt idx="77">
                  <c:v>2.7487630566245187</c:v>
                </c:pt>
                <c:pt idx="78">
                  <c:v>2.7487630566245187</c:v>
                </c:pt>
                <c:pt idx="79">
                  <c:v>2.7487630566245187</c:v>
                </c:pt>
                <c:pt idx="80">
                  <c:v>2.7533039647577096</c:v>
                </c:pt>
                <c:pt idx="81">
                  <c:v>2.7533039647577096</c:v>
                </c:pt>
                <c:pt idx="82">
                  <c:v>2.7533039647577096</c:v>
                </c:pt>
                <c:pt idx="83">
                  <c:v>2.7563395810363835</c:v>
                </c:pt>
                <c:pt idx="84">
                  <c:v>2.7563395810363835</c:v>
                </c:pt>
                <c:pt idx="85">
                  <c:v>2.7563395810363835</c:v>
                </c:pt>
                <c:pt idx="86">
                  <c:v>2.7609055770292659</c:v>
                </c:pt>
                <c:pt idx="87">
                  <c:v>2.7609055770292659</c:v>
                </c:pt>
                <c:pt idx="88">
                  <c:v>2.7609055770292659</c:v>
                </c:pt>
                <c:pt idx="89">
                  <c:v>2.7647221454243849</c:v>
                </c:pt>
                <c:pt idx="90">
                  <c:v>2.7647221454243849</c:v>
                </c:pt>
                <c:pt idx="91">
                  <c:v>2.7647221454243849</c:v>
                </c:pt>
                <c:pt idx="92">
                  <c:v>2.7693159789531983</c:v>
                </c:pt>
                <c:pt idx="93">
                  <c:v>2.7693159789531983</c:v>
                </c:pt>
                <c:pt idx="94">
                  <c:v>2.7693159789531983</c:v>
                </c:pt>
                <c:pt idx="95">
                  <c:v>2.7693159789531983</c:v>
                </c:pt>
                <c:pt idx="96">
                  <c:v>2.7739251040221915</c:v>
                </c:pt>
                <c:pt idx="97">
                  <c:v>2.7739251040221915</c:v>
                </c:pt>
                <c:pt idx="98">
                  <c:v>2.7739251040221915</c:v>
                </c:pt>
                <c:pt idx="99">
                  <c:v>2.7785495971103087</c:v>
                </c:pt>
                <c:pt idx="100">
                  <c:v>2.7785495971103087</c:v>
                </c:pt>
                <c:pt idx="101">
                  <c:v>2.7785495971103087</c:v>
                </c:pt>
                <c:pt idx="102">
                  <c:v>2.785515320334262</c:v>
                </c:pt>
                <c:pt idx="103">
                  <c:v>2.785515320334262</c:v>
                </c:pt>
                <c:pt idx="104">
                  <c:v>2.785515320334262</c:v>
                </c:pt>
                <c:pt idx="105">
                  <c:v>2.7894002789400281</c:v>
                </c:pt>
                <c:pt idx="106">
                  <c:v>2.7894002789400281</c:v>
                </c:pt>
                <c:pt idx="107">
                  <c:v>2.7894002789400281</c:v>
                </c:pt>
                <c:pt idx="108">
                  <c:v>2.7940765576976809</c:v>
                </c:pt>
                <c:pt idx="109">
                  <c:v>2.7940765576976809</c:v>
                </c:pt>
                <c:pt idx="110">
                  <c:v>2.7940765576976809</c:v>
                </c:pt>
                <c:pt idx="111">
                  <c:v>2.7940765576976809</c:v>
                </c:pt>
                <c:pt idx="112">
                  <c:v>2.8011204481792715</c:v>
                </c:pt>
                <c:pt idx="113">
                  <c:v>2.8011204481792715</c:v>
                </c:pt>
                <c:pt idx="114">
                  <c:v>2.8011204481792715</c:v>
                </c:pt>
                <c:pt idx="115">
                  <c:v>2.8050490883590462</c:v>
                </c:pt>
                <c:pt idx="116">
                  <c:v>2.8050490883590462</c:v>
                </c:pt>
                <c:pt idx="117">
                  <c:v>2.8050490883590462</c:v>
                </c:pt>
                <c:pt idx="118">
                  <c:v>2.808988764044944</c:v>
                </c:pt>
                <c:pt idx="119">
                  <c:v>2.808988764044944</c:v>
                </c:pt>
                <c:pt idx="120">
                  <c:v>2.808988764044944</c:v>
                </c:pt>
                <c:pt idx="121">
                  <c:v>2.8145229383619474</c:v>
                </c:pt>
                <c:pt idx="122">
                  <c:v>2.8145229383619474</c:v>
                </c:pt>
                <c:pt idx="123">
                  <c:v>2.8145229383619474</c:v>
                </c:pt>
                <c:pt idx="124">
                  <c:v>2.8208744710860367</c:v>
                </c:pt>
                <c:pt idx="125">
                  <c:v>2.8208744710860367</c:v>
                </c:pt>
                <c:pt idx="126">
                  <c:v>2.8208744710860367</c:v>
                </c:pt>
                <c:pt idx="127">
                  <c:v>2.8208744710860367</c:v>
                </c:pt>
                <c:pt idx="128">
                  <c:v>2.8264556246466928</c:v>
                </c:pt>
                <c:pt idx="129">
                  <c:v>2.8264556246466928</c:v>
                </c:pt>
                <c:pt idx="130">
                  <c:v>2.8264556246466928</c:v>
                </c:pt>
                <c:pt idx="131">
                  <c:v>2.8296547821165818</c:v>
                </c:pt>
                <c:pt idx="132">
                  <c:v>2.8296547821165818</c:v>
                </c:pt>
                <c:pt idx="133">
                  <c:v>2.8296547821165818</c:v>
                </c:pt>
                <c:pt idx="134">
                  <c:v>2.8344671201814058</c:v>
                </c:pt>
                <c:pt idx="135">
                  <c:v>2.8344671201814058</c:v>
                </c:pt>
                <c:pt idx="136">
                  <c:v>2.8344671201814058</c:v>
                </c:pt>
                <c:pt idx="137">
                  <c:v>2.8376844494892168</c:v>
                </c:pt>
                <c:pt idx="138">
                  <c:v>2.8376844494892168</c:v>
                </c:pt>
                <c:pt idx="139">
                  <c:v>2.8376844494892168</c:v>
                </c:pt>
                <c:pt idx="140">
                  <c:v>2.8401022436807724</c:v>
                </c:pt>
                <c:pt idx="141">
                  <c:v>2.8401022436807724</c:v>
                </c:pt>
                <c:pt idx="142">
                  <c:v>2.8401022436807724</c:v>
                </c:pt>
                <c:pt idx="143">
                  <c:v>2.8401022436807724</c:v>
                </c:pt>
                <c:pt idx="144">
                  <c:v>2.8441410693970419</c:v>
                </c:pt>
                <c:pt idx="145">
                  <c:v>2.8441410693970419</c:v>
                </c:pt>
                <c:pt idx="146">
                  <c:v>2.8441410693970419</c:v>
                </c:pt>
                <c:pt idx="147">
                  <c:v>2.8481913984619767</c:v>
                </c:pt>
                <c:pt idx="148">
                  <c:v>2.8481913984619767</c:v>
                </c:pt>
                <c:pt idx="149">
                  <c:v>2.8481913984619767</c:v>
                </c:pt>
                <c:pt idx="150">
                  <c:v>2.8506271379703532</c:v>
                </c:pt>
                <c:pt idx="151">
                  <c:v>2.8506271379703532</c:v>
                </c:pt>
                <c:pt idx="152">
                  <c:v>2.8506271379703532</c:v>
                </c:pt>
                <c:pt idx="153">
                  <c:v>2.8538812785388128</c:v>
                </c:pt>
                <c:pt idx="154">
                  <c:v>2.8538812785388128</c:v>
                </c:pt>
                <c:pt idx="155">
                  <c:v>2.8538812785388128</c:v>
                </c:pt>
                <c:pt idx="156">
                  <c:v>2.8571428571428572</c:v>
                </c:pt>
                <c:pt idx="157">
                  <c:v>2.8571428571428572</c:v>
                </c:pt>
                <c:pt idx="158">
                  <c:v>2.8571428571428572</c:v>
                </c:pt>
                <c:pt idx="159">
                  <c:v>2.8571428571428572</c:v>
                </c:pt>
                <c:pt idx="160">
                  <c:v>2.860411899313501</c:v>
                </c:pt>
                <c:pt idx="161">
                  <c:v>2.860411899313501</c:v>
                </c:pt>
                <c:pt idx="162">
                  <c:v>2.860411899313501</c:v>
                </c:pt>
                <c:pt idx="163">
                  <c:v>2.86368843069874</c:v>
                </c:pt>
                <c:pt idx="164">
                  <c:v>2.86368843069874</c:v>
                </c:pt>
                <c:pt idx="165">
                  <c:v>2.86368843069874</c:v>
                </c:pt>
                <c:pt idx="166">
                  <c:v>2.8677946659019216</c:v>
                </c:pt>
                <c:pt idx="167">
                  <c:v>2.8677946659019216</c:v>
                </c:pt>
                <c:pt idx="168">
                  <c:v>2.8677946659019216</c:v>
                </c:pt>
                <c:pt idx="169">
                  <c:v>2.8768699654775602</c:v>
                </c:pt>
                <c:pt idx="170">
                  <c:v>2.8768699654775602</c:v>
                </c:pt>
                <c:pt idx="171">
                  <c:v>2.8768699654775602</c:v>
                </c:pt>
                <c:pt idx="172">
                  <c:v>2.881014116969173</c:v>
                </c:pt>
                <c:pt idx="173">
                  <c:v>2.881014116969173</c:v>
                </c:pt>
                <c:pt idx="174">
                  <c:v>2.881014116969173</c:v>
                </c:pt>
                <c:pt idx="175">
                  <c:v>2.881014116969173</c:v>
                </c:pt>
                <c:pt idx="176">
                  <c:v>2.8851702250432774</c:v>
                </c:pt>
                <c:pt idx="177">
                  <c:v>2.8851702250432774</c:v>
                </c:pt>
                <c:pt idx="178">
                  <c:v>2.8851702250432774</c:v>
                </c:pt>
                <c:pt idx="179">
                  <c:v>2.8868360277136262</c:v>
                </c:pt>
                <c:pt idx="180">
                  <c:v>2.8868360277136262</c:v>
                </c:pt>
                <c:pt idx="181">
                  <c:v>2.8868360277136262</c:v>
                </c:pt>
                <c:pt idx="182">
                  <c:v>2.8943560057887119</c:v>
                </c:pt>
                <c:pt idx="183">
                  <c:v>2.8943560057887119</c:v>
                </c:pt>
                <c:pt idx="184">
                  <c:v>2.8943560057887119</c:v>
                </c:pt>
                <c:pt idx="185">
                  <c:v>2.8968713789107765</c:v>
                </c:pt>
                <c:pt idx="186">
                  <c:v>2.8968713789107765</c:v>
                </c:pt>
                <c:pt idx="187">
                  <c:v>2.8968713789107765</c:v>
                </c:pt>
                <c:pt idx="188">
                  <c:v>2.8977108084613152</c:v>
                </c:pt>
                <c:pt idx="189">
                  <c:v>2.8977108084613152</c:v>
                </c:pt>
                <c:pt idx="190">
                  <c:v>2.8977108084613152</c:v>
                </c:pt>
                <c:pt idx="191">
                  <c:v>2.8977108084613152</c:v>
                </c:pt>
                <c:pt idx="192">
                  <c:v>2.9002320185614847</c:v>
                </c:pt>
                <c:pt idx="193">
                  <c:v>2.9002320185614847</c:v>
                </c:pt>
                <c:pt idx="194">
                  <c:v>2.9002320185614847</c:v>
                </c:pt>
                <c:pt idx="195">
                  <c:v>2.9027576197387517</c:v>
                </c:pt>
                <c:pt idx="196">
                  <c:v>2.9027576197387517</c:v>
                </c:pt>
                <c:pt idx="197">
                  <c:v>2.9027576197387517</c:v>
                </c:pt>
                <c:pt idx="198">
                  <c:v>2.9061319383900028</c:v>
                </c:pt>
                <c:pt idx="199">
                  <c:v>2.9061319383900028</c:v>
                </c:pt>
                <c:pt idx="200">
                  <c:v>2.9061319383900028</c:v>
                </c:pt>
                <c:pt idx="201">
                  <c:v>2.9086678301337985</c:v>
                </c:pt>
                <c:pt idx="202">
                  <c:v>2.9086678301337985</c:v>
                </c:pt>
                <c:pt idx="203">
                  <c:v>2.9086678301337985</c:v>
                </c:pt>
                <c:pt idx="204">
                  <c:v>2.9129041654529564</c:v>
                </c:pt>
                <c:pt idx="205">
                  <c:v>2.9129041654529564</c:v>
                </c:pt>
                <c:pt idx="206">
                  <c:v>2.9129041654529564</c:v>
                </c:pt>
                <c:pt idx="207">
                  <c:v>2.9129041654529564</c:v>
                </c:pt>
                <c:pt idx="208">
                  <c:v>2.914602156805596</c:v>
                </c:pt>
                <c:pt idx="209">
                  <c:v>2.914602156805596</c:v>
                </c:pt>
                <c:pt idx="210">
                  <c:v>2.914602156805596</c:v>
                </c:pt>
                <c:pt idx="211">
                  <c:v>2.9154518950437316</c:v>
                </c:pt>
                <c:pt idx="212">
                  <c:v>2.9154518950437316</c:v>
                </c:pt>
                <c:pt idx="213">
                  <c:v>2.9154518950437316</c:v>
                </c:pt>
                <c:pt idx="214">
                  <c:v>2.9171528588098017</c:v>
                </c:pt>
                <c:pt idx="215">
                  <c:v>2.9171528588098017</c:v>
                </c:pt>
                <c:pt idx="216">
                  <c:v>2.9171528588098017</c:v>
                </c:pt>
                <c:pt idx="217">
                  <c:v>2.9188558085230589</c:v>
                </c:pt>
                <c:pt idx="218">
                  <c:v>2.9188558085230589</c:v>
                </c:pt>
                <c:pt idx="219">
                  <c:v>2.9188558085230589</c:v>
                </c:pt>
                <c:pt idx="220">
                  <c:v>2.9214139643587496</c:v>
                </c:pt>
                <c:pt idx="221">
                  <c:v>2.9214139643587496</c:v>
                </c:pt>
                <c:pt idx="222">
                  <c:v>2.9214139643587496</c:v>
                </c:pt>
                <c:pt idx="223">
                  <c:v>2.9214139643587496</c:v>
                </c:pt>
                <c:pt idx="224">
                  <c:v>2.9239766081871346</c:v>
                </c:pt>
                <c:pt idx="225">
                  <c:v>2.9239766081871346</c:v>
                </c:pt>
                <c:pt idx="226">
                  <c:v>2.9239766081871346</c:v>
                </c:pt>
                <c:pt idx="227">
                  <c:v>2.9274004683840746</c:v>
                </c:pt>
                <c:pt idx="228">
                  <c:v>2.9274004683840746</c:v>
                </c:pt>
                <c:pt idx="229">
                  <c:v>2.9274004683840746</c:v>
                </c:pt>
                <c:pt idx="230">
                  <c:v>2.9308323563892147</c:v>
                </c:pt>
                <c:pt idx="231">
                  <c:v>2.9308323563892147</c:v>
                </c:pt>
                <c:pt idx="232">
                  <c:v>2.9308323563892147</c:v>
                </c:pt>
                <c:pt idx="233">
                  <c:v>2.9351335485764602</c:v>
                </c:pt>
                <c:pt idx="234">
                  <c:v>2.9351335485764602</c:v>
                </c:pt>
                <c:pt idx="235">
                  <c:v>2.9351335485764602</c:v>
                </c:pt>
                <c:pt idx="236">
                  <c:v>2.9368575624082234</c:v>
                </c:pt>
                <c:pt idx="237">
                  <c:v>2.9368575624082234</c:v>
                </c:pt>
                <c:pt idx="238">
                  <c:v>2.9368575624082234</c:v>
                </c:pt>
                <c:pt idx="239">
                  <c:v>2.9368575624082234</c:v>
                </c:pt>
                <c:pt idx="240">
                  <c:v>2.9403116730373418</c:v>
                </c:pt>
                <c:pt idx="241">
                  <c:v>2.9403116730373418</c:v>
                </c:pt>
                <c:pt idx="242">
                  <c:v>2.9403116730373418</c:v>
                </c:pt>
                <c:pt idx="243">
                  <c:v>2.9403116730373418</c:v>
                </c:pt>
                <c:pt idx="244">
                  <c:v>2.9403116730373418</c:v>
                </c:pt>
                <c:pt idx="245">
                  <c:v>2.9403116730373418</c:v>
                </c:pt>
                <c:pt idx="246">
                  <c:v>2.9420417769932334</c:v>
                </c:pt>
                <c:pt idx="247">
                  <c:v>2.9420417769932334</c:v>
                </c:pt>
                <c:pt idx="248">
                  <c:v>2.9420417769932334</c:v>
                </c:pt>
                <c:pt idx="249">
                  <c:v>2.9429075927015891</c:v>
                </c:pt>
                <c:pt idx="250">
                  <c:v>2.9429075927015891</c:v>
                </c:pt>
                <c:pt idx="251">
                  <c:v>2.9429075927015891</c:v>
                </c:pt>
                <c:pt idx="252">
                  <c:v>2.9455081001472756</c:v>
                </c:pt>
                <c:pt idx="253">
                  <c:v>2.9455081001472756</c:v>
                </c:pt>
                <c:pt idx="254">
                  <c:v>2.9455081001472756</c:v>
                </c:pt>
                <c:pt idx="255">
                  <c:v>2.9455081001472756</c:v>
                </c:pt>
                <c:pt idx="256">
                  <c:v>2.9472443265546713</c:v>
                </c:pt>
                <c:pt idx="257">
                  <c:v>2.9472443265546713</c:v>
                </c:pt>
                <c:pt idx="258">
                  <c:v>2.9472443265546713</c:v>
                </c:pt>
                <c:pt idx="259">
                  <c:v>2.9498525073746311</c:v>
                </c:pt>
                <c:pt idx="260">
                  <c:v>2.9498525073746311</c:v>
                </c:pt>
                <c:pt idx="261">
                  <c:v>2.9498525073746311</c:v>
                </c:pt>
                <c:pt idx="262">
                  <c:v>2.9507229271171438</c:v>
                </c:pt>
                <c:pt idx="263">
                  <c:v>2.9507229271171438</c:v>
                </c:pt>
                <c:pt idx="264">
                  <c:v>2.9507229271171438</c:v>
                </c:pt>
                <c:pt idx="265">
                  <c:v>2.9524653085326249</c:v>
                </c:pt>
                <c:pt idx="266">
                  <c:v>2.9524653085326249</c:v>
                </c:pt>
                <c:pt idx="267">
                  <c:v>2.9524653085326249</c:v>
                </c:pt>
                <c:pt idx="268">
                  <c:v>2.9550827423167849</c:v>
                </c:pt>
                <c:pt idx="269">
                  <c:v>2.9550827423167849</c:v>
                </c:pt>
                <c:pt idx="270">
                  <c:v>2.9550827423167849</c:v>
                </c:pt>
                <c:pt idx="271">
                  <c:v>2.9550827423167849</c:v>
                </c:pt>
                <c:pt idx="272">
                  <c:v>2.9577048210588583</c:v>
                </c:pt>
                <c:pt idx="273">
                  <c:v>2.9577048210588583</c:v>
                </c:pt>
                <c:pt idx="274">
                  <c:v>2.9577048210588583</c:v>
                </c:pt>
                <c:pt idx="275">
                  <c:v>2.9585798816568047</c:v>
                </c:pt>
                <c:pt idx="276">
                  <c:v>2.9585798816568047</c:v>
                </c:pt>
                <c:pt idx="277">
                  <c:v>2.9585798816568047</c:v>
                </c:pt>
                <c:pt idx="278">
                  <c:v>2.9603315571343991</c:v>
                </c:pt>
                <c:pt idx="279">
                  <c:v>2.9603315571343991</c:v>
                </c:pt>
                <c:pt idx="280">
                  <c:v>2.9603315571343991</c:v>
                </c:pt>
                <c:pt idx="281">
                  <c:v>2.9655990510083039</c:v>
                </c:pt>
                <c:pt idx="282">
                  <c:v>2.9655990510083039</c:v>
                </c:pt>
                <c:pt idx="283">
                  <c:v>2.9655990510083039</c:v>
                </c:pt>
                <c:pt idx="284">
                  <c:v>2.9682398337785694</c:v>
                </c:pt>
                <c:pt idx="285">
                  <c:v>2.9682398337785694</c:v>
                </c:pt>
                <c:pt idx="286">
                  <c:v>2.9682398337785694</c:v>
                </c:pt>
                <c:pt idx="287">
                  <c:v>2.9682398337785694</c:v>
                </c:pt>
                <c:pt idx="288">
                  <c:v>2.97000297000297</c:v>
                </c:pt>
                <c:pt idx="289">
                  <c:v>2.97000297000297</c:v>
                </c:pt>
                <c:pt idx="290">
                  <c:v>2.97000297000297</c:v>
                </c:pt>
                <c:pt idx="291">
                  <c:v>2.9735355337496281</c:v>
                </c:pt>
                <c:pt idx="292">
                  <c:v>2.9735355337496281</c:v>
                </c:pt>
                <c:pt idx="293">
                  <c:v>2.9735355337496281</c:v>
                </c:pt>
                <c:pt idx="294">
                  <c:v>2.9761904761904763</c:v>
                </c:pt>
                <c:pt idx="295">
                  <c:v>2.9761904761904763</c:v>
                </c:pt>
                <c:pt idx="296">
                  <c:v>2.9761904761904763</c:v>
                </c:pt>
                <c:pt idx="297">
                  <c:v>2.9761904761904763</c:v>
                </c:pt>
                <c:pt idx="298">
                  <c:v>2.9761904761904763</c:v>
                </c:pt>
                <c:pt idx="299">
                  <c:v>2.9761904761904763</c:v>
                </c:pt>
                <c:pt idx="300">
                  <c:v>2.9761904761904763</c:v>
                </c:pt>
                <c:pt idx="301">
                  <c:v>2.9761904761904763</c:v>
                </c:pt>
                <c:pt idx="302">
                  <c:v>2.9761904761904763</c:v>
                </c:pt>
                <c:pt idx="303">
                  <c:v>2.9761904761904763</c:v>
                </c:pt>
                <c:pt idx="304">
                  <c:v>2.9770765108663295</c:v>
                </c:pt>
                <c:pt idx="305">
                  <c:v>2.9770765108663295</c:v>
                </c:pt>
                <c:pt idx="306">
                  <c:v>2.9770765108663295</c:v>
                </c:pt>
                <c:pt idx="307">
                  <c:v>2.9779630732578917</c:v>
                </c:pt>
                <c:pt idx="308">
                  <c:v>2.9779630732578917</c:v>
                </c:pt>
                <c:pt idx="309">
                  <c:v>2.9779630732578917</c:v>
                </c:pt>
                <c:pt idx="310">
                  <c:v>2.9788501638367593</c:v>
                </c:pt>
                <c:pt idx="311">
                  <c:v>2.9788501638367593</c:v>
                </c:pt>
                <c:pt idx="312">
                  <c:v>2.9788501638367593</c:v>
                </c:pt>
                <c:pt idx="313">
                  <c:v>2.9832935560859188</c:v>
                </c:pt>
                <c:pt idx="314">
                  <c:v>2.9832935560859188</c:v>
                </c:pt>
                <c:pt idx="315">
                  <c:v>2.9832935560859188</c:v>
                </c:pt>
                <c:pt idx="316">
                  <c:v>2.9859659599880564</c:v>
                </c:pt>
                <c:pt idx="317">
                  <c:v>2.9859659599880564</c:v>
                </c:pt>
                <c:pt idx="318">
                  <c:v>2.9859659599880564</c:v>
                </c:pt>
                <c:pt idx="319">
                  <c:v>2.9859659599880564</c:v>
                </c:pt>
                <c:pt idx="320">
                  <c:v>2.9859659599880564</c:v>
                </c:pt>
                <c:pt idx="321">
                  <c:v>2.9859659599880564</c:v>
                </c:pt>
                <c:pt idx="322">
                  <c:v>2.9859659599880564</c:v>
                </c:pt>
                <c:pt idx="323">
                  <c:v>2.9868578255675029</c:v>
                </c:pt>
                <c:pt idx="324">
                  <c:v>2.9868578255675029</c:v>
                </c:pt>
                <c:pt idx="325">
                  <c:v>2.9868578255675029</c:v>
                </c:pt>
                <c:pt idx="326">
                  <c:v>2.987750224081267</c:v>
                </c:pt>
                <c:pt idx="327">
                  <c:v>2.987750224081267</c:v>
                </c:pt>
                <c:pt idx="328">
                  <c:v>2.987750224081267</c:v>
                </c:pt>
                <c:pt idx="329">
                  <c:v>2.9895366218236172</c:v>
                </c:pt>
                <c:pt idx="330">
                  <c:v>2.9895366218236172</c:v>
                </c:pt>
                <c:pt idx="331">
                  <c:v>2.9895366218236172</c:v>
                </c:pt>
                <c:pt idx="332">
                  <c:v>2.9913251570445705</c:v>
                </c:pt>
                <c:pt idx="333">
                  <c:v>2.9913251570445705</c:v>
                </c:pt>
                <c:pt idx="334">
                  <c:v>2.9913251570445705</c:v>
                </c:pt>
                <c:pt idx="335">
                  <c:v>2.9913251570445705</c:v>
                </c:pt>
                <c:pt idx="336">
                  <c:v>2.9931158335827592</c:v>
                </c:pt>
                <c:pt idx="337">
                  <c:v>2.9931158335827592</c:v>
                </c:pt>
                <c:pt idx="338">
                  <c:v>2.9931158335827592</c:v>
                </c:pt>
                <c:pt idx="339">
                  <c:v>2.994908655286014</c:v>
                </c:pt>
                <c:pt idx="340">
                  <c:v>2.994908655286014</c:v>
                </c:pt>
                <c:pt idx="341">
                  <c:v>2.994908655286014</c:v>
                </c:pt>
                <c:pt idx="342">
                  <c:v>2.994908655286014</c:v>
                </c:pt>
                <c:pt idx="343">
                  <c:v>2.994908655286014</c:v>
                </c:pt>
                <c:pt idx="344">
                  <c:v>2.994908655286014</c:v>
                </c:pt>
                <c:pt idx="345">
                  <c:v>2.9967036260113877</c:v>
                </c:pt>
                <c:pt idx="346">
                  <c:v>2.9967036260113877</c:v>
                </c:pt>
                <c:pt idx="347">
                  <c:v>2.9967036260113877</c:v>
                </c:pt>
                <c:pt idx="348">
                  <c:v>2.9976019184652278</c:v>
                </c:pt>
                <c:pt idx="349">
                  <c:v>2.9976019184652278</c:v>
                </c:pt>
                <c:pt idx="350">
                  <c:v>2.9976019184652278</c:v>
                </c:pt>
                <c:pt idx="351">
                  <c:v>2.9976019184652278</c:v>
                </c:pt>
                <c:pt idx="352">
                  <c:v>2.9994001199760052</c:v>
                </c:pt>
                <c:pt idx="353">
                  <c:v>2.9994001199760052</c:v>
                </c:pt>
                <c:pt idx="354">
                  <c:v>2.9994001199760052</c:v>
                </c:pt>
                <c:pt idx="355">
                  <c:v>3.0012004801920771</c:v>
                </c:pt>
                <c:pt idx="356">
                  <c:v>3.0012004801920771</c:v>
                </c:pt>
                <c:pt idx="357">
                  <c:v>3.0012004801920771</c:v>
                </c:pt>
                <c:pt idx="358">
                  <c:v>3.0012004801920771</c:v>
                </c:pt>
                <c:pt idx="359">
                  <c:v>3.0012004801920771</c:v>
                </c:pt>
                <c:pt idx="360">
                  <c:v>3.0012004801920771</c:v>
                </c:pt>
                <c:pt idx="361">
                  <c:v>3.0021014710297207</c:v>
                </c:pt>
                <c:pt idx="362">
                  <c:v>3.0021014710297207</c:v>
                </c:pt>
                <c:pt idx="363">
                  <c:v>3.0021014710297207</c:v>
                </c:pt>
                <c:pt idx="364">
                  <c:v>3.0030030030030028</c:v>
                </c:pt>
                <c:pt idx="365">
                  <c:v>3.0030030030030028</c:v>
                </c:pt>
                <c:pt idx="366">
                  <c:v>3.0030030030030028</c:v>
                </c:pt>
                <c:pt idx="367">
                  <c:v>3.0030030030030028</c:v>
                </c:pt>
                <c:pt idx="368">
                  <c:v>3.0030030030030028</c:v>
                </c:pt>
                <c:pt idx="369">
                  <c:v>3.0030030030030028</c:v>
                </c:pt>
                <c:pt idx="370">
                  <c:v>3.0030030030030028</c:v>
                </c:pt>
                <c:pt idx="371">
                  <c:v>3.0039050765995796</c:v>
                </c:pt>
                <c:pt idx="372">
                  <c:v>3.0039050765995796</c:v>
                </c:pt>
                <c:pt idx="373">
                  <c:v>3.0039050765995796</c:v>
                </c:pt>
                <c:pt idx="374">
                  <c:v>3.007518796992481</c:v>
                </c:pt>
                <c:pt idx="375">
                  <c:v>3.007518796992481</c:v>
                </c:pt>
                <c:pt idx="376">
                  <c:v>3.007518796992481</c:v>
                </c:pt>
                <c:pt idx="377">
                  <c:v>3.0093289196509176</c:v>
                </c:pt>
                <c:pt idx="378">
                  <c:v>3.0093289196509176</c:v>
                </c:pt>
                <c:pt idx="379">
                  <c:v>3.0093289196509176</c:v>
                </c:pt>
                <c:pt idx="380">
                  <c:v>3.0093289196509176</c:v>
                </c:pt>
                <c:pt idx="381">
                  <c:v>3.0093289196509176</c:v>
                </c:pt>
                <c:pt idx="382">
                  <c:v>3.0093289196509176</c:v>
                </c:pt>
                <c:pt idx="383">
                  <c:v>3.0093289196509176</c:v>
                </c:pt>
                <c:pt idx="384">
                  <c:v>3.0093289196509176</c:v>
                </c:pt>
                <c:pt idx="385">
                  <c:v>3.0093289196509176</c:v>
                </c:pt>
                <c:pt idx="386">
                  <c:v>3.0093289196509176</c:v>
                </c:pt>
                <c:pt idx="387">
                  <c:v>3.0093289196509176</c:v>
                </c:pt>
                <c:pt idx="388">
                  <c:v>3.0093289196509176</c:v>
                </c:pt>
                <c:pt idx="389">
                  <c:v>3.0093289196509176</c:v>
                </c:pt>
                <c:pt idx="390">
                  <c:v>3.0093289196509176</c:v>
                </c:pt>
                <c:pt idx="391">
                  <c:v>3.0093289196509176</c:v>
                </c:pt>
                <c:pt idx="392">
                  <c:v>3.0093289196509176</c:v>
                </c:pt>
                <c:pt idx="393">
                  <c:v>3.011141222523336</c:v>
                </c:pt>
                <c:pt idx="394">
                  <c:v>3.011141222523336</c:v>
                </c:pt>
                <c:pt idx="395">
                  <c:v>3.011141222523336</c:v>
                </c:pt>
                <c:pt idx="396">
                  <c:v>3.0129557095510697</c:v>
                </c:pt>
                <c:pt idx="397">
                  <c:v>3.0129557095510697</c:v>
                </c:pt>
                <c:pt idx="398">
                  <c:v>3.0129557095510697</c:v>
                </c:pt>
                <c:pt idx="399">
                  <c:v>3.0129557095510697</c:v>
                </c:pt>
                <c:pt idx="400">
                  <c:v>3.0129557095510697</c:v>
                </c:pt>
                <c:pt idx="401">
                  <c:v>3.0129557095510697</c:v>
                </c:pt>
                <c:pt idx="402">
                  <c:v>3.0129557095510697</c:v>
                </c:pt>
                <c:pt idx="403">
                  <c:v>3.0120481927710845</c:v>
                </c:pt>
                <c:pt idx="404">
                  <c:v>3.0120481927710845</c:v>
                </c:pt>
                <c:pt idx="405">
                  <c:v>3.0120481927710845</c:v>
                </c:pt>
                <c:pt idx="406">
                  <c:v>3.0120481927710845</c:v>
                </c:pt>
                <c:pt idx="407">
                  <c:v>3.0120481927710845</c:v>
                </c:pt>
                <c:pt idx="408">
                  <c:v>3.0120481927710845</c:v>
                </c:pt>
                <c:pt idx="409">
                  <c:v>3.0129557095510697</c:v>
                </c:pt>
                <c:pt idx="410">
                  <c:v>3.0129557095510697</c:v>
                </c:pt>
                <c:pt idx="411">
                  <c:v>3.0129557095510697</c:v>
                </c:pt>
                <c:pt idx="412">
                  <c:v>3.013863773357444</c:v>
                </c:pt>
                <c:pt idx="413">
                  <c:v>3.013863773357444</c:v>
                </c:pt>
                <c:pt idx="414">
                  <c:v>3.013863773357444</c:v>
                </c:pt>
                <c:pt idx="415">
                  <c:v>3.013863773357444</c:v>
                </c:pt>
                <c:pt idx="416">
                  <c:v>3.013863773357444</c:v>
                </c:pt>
                <c:pt idx="417">
                  <c:v>3.013863773357444</c:v>
                </c:pt>
                <c:pt idx="418">
                  <c:v>3.013863773357444</c:v>
                </c:pt>
                <c:pt idx="419">
                  <c:v>3.013863773357444</c:v>
                </c:pt>
                <c:pt idx="420">
                  <c:v>3.013863773357444</c:v>
                </c:pt>
                <c:pt idx="421">
                  <c:v>3.013863773357444</c:v>
                </c:pt>
                <c:pt idx="422">
                  <c:v>3.0147723846849566</c:v>
                </c:pt>
                <c:pt idx="423">
                  <c:v>3.0147723846849566</c:v>
                </c:pt>
                <c:pt idx="424">
                  <c:v>3.0147723846849566</c:v>
                </c:pt>
                <c:pt idx="425">
                  <c:v>3.0156815440289502</c:v>
                </c:pt>
                <c:pt idx="426">
                  <c:v>3.0156815440289502</c:v>
                </c:pt>
                <c:pt idx="427">
                  <c:v>3.0156815440289502</c:v>
                </c:pt>
                <c:pt idx="428">
                  <c:v>3.0165912518853695</c:v>
                </c:pt>
                <c:pt idx="429">
                  <c:v>3.0165912518853695</c:v>
                </c:pt>
                <c:pt idx="430">
                  <c:v>3.0165912518853695</c:v>
                </c:pt>
                <c:pt idx="431">
                  <c:v>3.0165912518853695</c:v>
                </c:pt>
                <c:pt idx="432">
                  <c:v>3.0184123151222457</c:v>
                </c:pt>
                <c:pt idx="433">
                  <c:v>3.0184123151222457</c:v>
                </c:pt>
                <c:pt idx="434">
                  <c:v>3.0184123151222457</c:v>
                </c:pt>
                <c:pt idx="435">
                  <c:v>3.0202355783751131</c:v>
                </c:pt>
                <c:pt idx="436">
                  <c:v>3.0202355783751131</c:v>
                </c:pt>
                <c:pt idx="437">
                  <c:v>3.0202355783751131</c:v>
                </c:pt>
                <c:pt idx="438">
                  <c:v>3.0202355783751131</c:v>
                </c:pt>
                <c:pt idx="439">
                  <c:v>3.0202355783751131</c:v>
                </c:pt>
                <c:pt idx="440">
                  <c:v>3.0202355783751131</c:v>
                </c:pt>
                <c:pt idx="441">
                  <c:v>3.0202355783751131</c:v>
                </c:pt>
                <c:pt idx="442">
                  <c:v>3.0202355783751131</c:v>
                </c:pt>
                <c:pt idx="443">
                  <c:v>3.0202355783751131</c:v>
                </c:pt>
                <c:pt idx="444">
                  <c:v>3.0220610456331221</c:v>
                </c:pt>
                <c:pt idx="445">
                  <c:v>3.0220610456331221</c:v>
                </c:pt>
                <c:pt idx="446">
                  <c:v>3.0220610456331221</c:v>
                </c:pt>
                <c:pt idx="447">
                  <c:v>3.0220610456331221</c:v>
                </c:pt>
                <c:pt idx="448">
                  <c:v>3.022974607013301</c:v>
                </c:pt>
                <c:pt idx="449">
                  <c:v>3.022974607013301</c:v>
                </c:pt>
                <c:pt idx="450">
                  <c:v>3.022974607013301</c:v>
                </c:pt>
                <c:pt idx="451">
                  <c:v>3.022974607013301</c:v>
                </c:pt>
                <c:pt idx="452">
                  <c:v>3.022974607013301</c:v>
                </c:pt>
                <c:pt idx="453">
                  <c:v>3.022974607013301</c:v>
                </c:pt>
                <c:pt idx="454">
                  <c:v>3.0238887208950711</c:v>
                </c:pt>
                <c:pt idx="455">
                  <c:v>3.0238887208950711</c:v>
                </c:pt>
                <c:pt idx="456">
                  <c:v>3.0238887208950711</c:v>
                </c:pt>
                <c:pt idx="457">
                  <c:v>3.0238887208950711</c:v>
                </c:pt>
                <c:pt idx="458">
                  <c:v>3.0238887208950711</c:v>
                </c:pt>
                <c:pt idx="459">
                  <c:v>3.0238887208950711</c:v>
                </c:pt>
                <c:pt idx="460">
                  <c:v>3.0238887208950711</c:v>
                </c:pt>
                <c:pt idx="461">
                  <c:v>3.0238887208950711</c:v>
                </c:pt>
                <c:pt idx="462">
                  <c:v>3.0238887208950711</c:v>
                </c:pt>
                <c:pt idx="463">
                  <c:v>3.0238887208950711</c:v>
                </c:pt>
                <c:pt idx="464">
                  <c:v>3.024803387779794</c:v>
                </c:pt>
                <c:pt idx="465">
                  <c:v>3.024803387779794</c:v>
                </c:pt>
                <c:pt idx="466">
                  <c:v>3.024803387779794</c:v>
                </c:pt>
                <c:pt idx="467">
                  <c:v>3.026634382566586</c:v>
                </c:pt>
                <c:pt idx="468">
                  <c:v>3.026634382566586</c:v>
                </c:pt>
                <c:pt idx="469">
                  <c:v>3.026634382566586</c:v>
                </c:pt>
                <c:pt idx="470">
                  <c:v>3.0284675953967293</c:v>
                </c:pt>
                <c:pt idx="471">
                  <c:v>3.0284675953967293</c:v>
                </c:pt>
                <c:pt idx="472">
                  <c:v>3.0284675953967293</c:v>
                </c:pt>
                <c:pt idx="473">
                  <c:v>3.0293850348379276</c:v>
                </c:pt>
                <c:pt idx="474">
                  <c:v>3.0293850348379276</c:v>
                </c:pt>
                <c:pt idx="475">
                  <c:v>3.0293850348379276</c:v>
                </c:pt>
                <c:pt idx="476">
                  <c:v>3.031221582297666</c:v>
                </c:pt>
                <c:pt idx="477">
                  <c:v>3.031221582297666</c:v>
                </c:pt>
                <c:pt idx="478">
                  <c:v>3.031221582297666</c:v>
                </c:pt>
                <c:pt idx="479">
                  <c:v>3.031221582297666</c:v>
                </c:pt>
                <c:pt idx="480">
                  <c:v>3.0321406913280775</c:v>
                </c:pt>
                <c:pt idx="481">
                  <c:v>3.0321406913280775</c:v>
                </c:pt>
                <c:pt idx="482">
                  <c:v>3.0321406913280775</c:v>
                </c:pt>
                <c:pt idx="483">
                  <c:v>3.0321406913280775</c:v>
                </c:pt>
                <c:pt idx="484">
                  <c:v>3.0321406913280775</c:v>
                </c:pt>
                <c:pt idx="485">
                  <c:v>3.0321406913280775</c:v>
                </c:pt>
                <c:pt idx="486">
                  <c:v>3.0321406913280775</c:v>
                </c:pt>
                <c:pt idx="487">
                  <c:v>3.0321406913280775</c:v>
                </c:pt>
                <c:pt idx="488">
                  <c:v>3.0321406913280775</c:v>
                </c:pt>
                <c:pt idx="489">
                  <c:v>3.0358227079538556</c:v>
                </c:pt>
                <c:pt idx="490">
                  <c:v>3.0358227079538556</c:v>
                </c:pt>
                <c:pt idx="491">
                  <c:v>3.0358227079538556</c:v>
                </c:pt>
                <c:pt idx="492">
                  <c:v>3.0376670716889431</c:v>
                </c:pt>
                <c:pt idx="493">
                  <c:v>3.0376670716889431</c:v>
                </c:pt>
                <c:pt idx="494">
                  <c:v>3.0376670716889431</c:v>
                </c:pt>
                <c:pt idx="495">
                  <c:v>3.0376670716889431</c:v>
                </c:pt>
                <c:pt idx="496">
                  <c:v>3.0376670716889431</c:v>
                </c:pt>
                <c:pt idx="497">
                  <c:v>3.0376670716889431</c:v>
                </c:pt>
                <c:pt idx="498">
                  <c:v>3.0376670716889431</c:v>
                </c:pt>
                <c:pt idx="499">
                  <c:v>3.0404378230465188</c:v>
                </c:pt>
                <c:pt idx="500">
                  <c:v>3.0404378230465188</c:v>
                </c:pt>
                <c:pt idx="501">
                  <c:v>3.0404378230465188</c:v>
                </c:pt>
                <c:pt idx="502">
                  <c:v>3.0422878004259206</c:v>
                </c:pt>
                <c:pt idx="503">
                  <c:v>3.0422878004259206</c:v>
                </c:pt>
                <c:pt idx="504">
                  <c:v>3.0422878004259206</c:v>
                </c:pt>
                <c:pt idx="505">
                  <c:v>3.0450669914738127</c:v>
                </c:pt>
                <c:pt idx="506">
                  <c:v>3.0450669914738127</c:v>
                </c:pt>
                <c:pt idx="507">
                  <c:v>3.0450669914738127</c:v>
                </c:pt>
                <c:pt idx="508">
                  <c:v>3.0469226081657528</c:v>
                </c:pt>
                <c:pt idx="509">
                  <c:v>3.0469226081657528</c:v>
                </c:pt>
                <c:pt idx="510">
                  <c:v>3.0469226081657528</c:v>
                </c:pt>
                <c:pt idx="511">
                  <c:v>3.0469226081657528</c:v>
                </c:pt>
              </c:numCache>
            </c:numRef>
          </c:xVal>
          <c:yVal>
            <c:numRef>
              <c:f>Лист1!$K$10:$K$521</c:f>
              <c:numCache>
                <c:formatCode>0.000</c:formatCode>
                <c:ptCount val="512"/>
                <c:pt idx="0">
                  <c:v>5.5581983466540485</c:v>
                </c:pt>
                <c:pt idx="1">
                  <c:v>5.5206972479632963</c:v>
                </c:pt>
                <c:pt idx="2">
                  <c:v>5.4792615029558025</c:v>
                </c:pt>
                <c:pt idx="3">
                  <c:v>5.4418772369314974</c:v>
                </c:pt>
                <c:pt idx="4">
                  <c:v>5.4054523890849007</c:v>
                </c:pt>
                <c:pt idx="5">
                  <c:v>5.368351831125473</c:v>
                </c:pt>
                <c:pt idx="6">
                  <c:v>5.328814660480627</c:v>
                </c:pt>
                <c:pt idx="7">
                  <c:v>5.2902508013817267</c:v>
                </c:pt>
                <c:pt idx="8">
                  <c:v>5.2563365572482139</c:v>
                </c:pt>
                <c:pt idx="9">
                  <c:v>5.2181709284153328</c:v>
                </c:pt>
                <c:pt idx="10">
                  <c:v>5.1830011188644516</c:v>
                </c:pt>
                <c:pt idx="11">
                  <c:v>5.149102002236905</c:v>
                </c:pt>
                <c:pt idx="12">
                  <c:v>5.1300178879704985</c:v>
                </c:pt>
                <c:pt idx="13">
                  <c:v>5.1049331404163167</c:v>
                </c:pt>
                <c:pt idx="14">
                  <c:v>5.0696726776637755</c:v>
                </c:pt>
                <c:pt idx="15">
                  <c:v>5.031766306059299</c:v>
                </c:pt>
                <c:pt idx="16">
                  <c:v>4.9951799199646487</c:v>
                </c:pt>
                <c:pt idx="17">
                  <c:v>4.9600005339106756</c:v>
                </c:pt>
                <c:pt idx="18">
                  <c:v>4.9241912571397135</c:v>
                </c:pt>
                <c:pt idx="19">
                  <c:v>4.8898924529938039</c:v>
                </c:pt>
                <c:pt idx="20">
                  <c:v>4.8571941769907454</c:v>
                </c:pt>
                <c:pt idx="21">
                  <c:v>4.7878747733393086</c:v>
                </c:pt>
                <c:pt idx="22">
                  <c:v>4.7557639918327128</c:v>
                </c:pt>
                <c:pt idx="23">
                  <c:v>4.7207776769376784</c:v>
                </c:pt>
                <c:pt idx="24">
                  <c:v>4.6875622041383576</c:v>
                </c:pt>
                <c:pt idx="25">
                  <c:v>4.6537857680813142</c:v>
                </c:pt>
                <c:pt idx="26">
                  <c:v>4.6169523145088514</c:v>
                </c:pt>
                <c:pt idx="27">
                  <c:v>4.5869892072776182</c:v>
                </c:pt>
                <c:pt idx="28">
                  <c:v>4.5540144590595766</c:v>
                </c:pt>
                <c:pt idx="29">
                  <c:v>4.5230860076644133</c:v>
                </c:pt>
                <c:pt idx="30">
                  <c:v>4.4943085327602139</c:v>
                </c:pt>
                <c:pt idx="31">
                  <c:v>4.4597561783764759</c:v>
                </c:pt>
                <c:pt idx="32">
                  <c:v>4.4273230351979853</c:v>
                </c:pt>
                <c:pt idx="33">
                  <c:v>4.3943552557546068</c:v>
                </c:pt>
                <c:pt idx="34">
                  <c:v>4.3636498375754362</c:v>
                </c:pt>
                <c:pt idx="35">
                  <c:v>4.3296064624365744</c:v>
                </c:pt>
                <c:pt idx="36">
                  <c:v>4.2949735624136522</c:v>
                </c:pt>
                <c:pt idx="37">
                  <c:v>4.2656475237935041</c:v>
                </c:pt>
                <c:pt idx="38">
                  <c:v>4.2358850698002017</c:v>
                </c:pt>
                <c:pt idx="39">
                  <c:v>4.2087148406195887</c:v>
                </c:pt>
                <c:pt idx="40">
                  <c:v>4.178086370673503</c:v>
                </c:pt>
                <c:pt idx="41">
                  <c:v>4.1438442891132805</c:v>
                </c:pt>
                <c:pt idx="42">
                  <c:v>4.1153853109053511</c:v>
                </c:pt>
                <c:pt idx="43">
                  <c:v>4.0832818928843357</c:v>
                </c:pt>
                <c:pt idx="44">
                  <c:v>4.0572228923036677</c:v>
                </c:pt>
                <c:pt idx="45">
                  <c:v>4.0241642884012467</c:v>
                </c:pt>
                <c:pt idx="46">
                  <c:v>3.9939370127811502</c:v>
                </c:pt>
                <c:pt idx="47">
                  <c:v>3.9632458734318297</c:v>
                </c:pt>
                <c:pt idx="48">
                  <c:v>3.9355637706080873</c:v>
                </c:pt>
                <c:pt idx="49">
                  <c:v>3.9039564402618359</c:v>
                </c:pt>
                <c:pt idx="50">
                  <c:v>3.8754354578235222</c:v>
                </c:pt>
                <c:pt idx="51">
                  <c:v>3.8501415344219874</c:v>
                </c:pt>
                <c:pt idx="52">
                  <c:v>3.8171435356619172</c:v>
                </c:pt>
                <c:pt idx="53">
                  <c:v>3.7948384717609676</c:v>
                </c:pt>
                <c:pt idx="54">
                  <c:v>3.764706075051679</c:v>
                </c:pt>
                <c:pt idx="55">
                  <c:v>3.7379626011199001</c:v>
                </c:pt>
                <c:pt idx="56">
                  <c:v>3.7108566683104933</c:v>
                </c:pt>
                <c:pt idx="57">
                  <c:v>3.6873269851513206</c:v>
                </c:pt>
                <c:pt idx="58">
                  <c:v>3.6635171801386837</c:v>
                </c:pt>
                <c:pt idx="59">
                  <c:v>3.6313233260543343</c:v>
                </c:pt>
                <c:pt idx="60">
                  <c:v>3.6068332241341339</c:v>
                </c:pt>
                <c:pt idx="61">
                  <c:v>3.5820395181804767</c:v>
                </c:pt>
                <c:pt idx="62">
                  <c:v>3.561140686431794</c:v>
                </c:pt>
                <c:pt idx="63">
                  <c:v>3.5315105148615129</c:v>
                </c:pt>
                <c:pt idx="64">
                  <c:v>3.5057590861414218</c:v>
                </c:pt>
                <c:pt idx="65">
                  <c:v>3.4840433461973239</c:v>
                </c:pt>
                <c:pt idx="66">
                  <c:v>3.4576693376334164</c:v>
                </c:pt>
                <c:pt idx="67">
                  <c:v>3.4354221671960921</c:v>
                </c:pt>
                <c:pt idx="68">
                  <c:v>3.4083947288626462</c:v>
                </c:pt>
                <c:pt idx="69">
                  <c:v>3.3809970401463225</c:v>
                </c:pt>
                <c:pt idx="70">
                  <c:v>3.3578753953441702</c:v>
                </c:pt>
                <c:pt idx="71">
                  <c:v>3.334483315817788</c:v>
                </c:pt>
                <c:pt idx="72">
                  <c:v>3.3060468178132294</c:v>
                </c:pt>
                <c:pt idx="73">
                  <c:v>3.2916754984914807</c:v>
                </c:pt>
                <c:pt idx="74">
                  <c:v>3.272351676668007</c:v>
                </c:pt>
                <c:pt idx="75">
                  <c:v>3.2430112971724192</c:v>
                </c:pt>
                <c:pt idx="76">
                  <c:v>3.2232091552069964</c:v>
                </c:pt>
                <c:pt idx="77">
                  <c:v>3.1981775393433347</c:v>
                </c:pt>
                <c:pt idx="78">
                  <c:v>3.1779242017074765</c:v>
                </c:pt>
                <c:pt idx="79">
                  <c:v>3.1574636652058463</c:v>
                </c:pt>
                <c:pt idx="80">
                  <c:v>3.1419797168986157</c:v>
                </c:pt>
                <c:pt idx="81">
                  <c:v>3.1159037282223561</c:v>
                </c:pt>
                <c:pt idx="82">
                  <c:v>3.0947953528649754</c:v>
                </c:pt>
                <c:pt idx="83">
                  <c:v>3.0680926865152474</c:v>
                </c:pt>
                <c:pt idx="84">
                  <c:v>3.0464708543068162</c:v>
                </c:pt>
                <c:pt idx="85">
                  <c:v>3.030099685133937</c:v>
                </c:pt>
                <c:pt idx="86">
                  <c:v>3.0135934016204962</c:v>
                </c:pt>
                <c:pt idx="87">
                  <c:v>2.9857765415282325</c:v>
                </c:pt>
                <c:pt idx="88">
                  <c:v>2.968898804236503</c:v>
                </c:pt>
                <c:pt idx="89">
                  <c:v>2.9518774249006858</c:v>
                </c:pt>
                <c:pt idx="90">
                  <c:v>2.9289545378626727</c:v>
                </c:pt>
                <c:pt idx="91">
                  <c:v>2.9057658723008339</c:v>
                </c:pt>
                <c:pt idx="92">
                  <c:v>2.8881962131893681</c:v>
                </c:pt>
                <c:pt idx="93">
                  <c:v>2.8704708386736777</c:v>
                </c:pt>
                <c:pt idx="94">
                  <c:v>2.8525869639223549</c:v>
                </c:pt>
                <c:pt idx="95">
                  <c:v>2.8345417287230799</c:v>
                </c:pt>
                <c:pt idx="96">
                  <c:v>2.8224204794996983</c:v>
                </c:pt>
                <c:pt idx="97">
                  <c:v>2.7979553426284292</c:v>
                </c:pt>
                <c:pt idx="98">
                  <c:v>2.7794080690577712</c:v>
                </c:pt>
                <c:pt idx="99">
                  <c:v>2.7669469695564985</c:v>
                </c:pt>
                <c:pt idx="100">
                  <c:v>2.7417894051427782</c:v>
                </c:pt>
                <c:pt idx="101">
                  <c:v>2.7227113590492604</c:v>
                </c:pt>
                <c:pt idx="102">
                  <c:v>2.7034495729273385</c:v>
                </c:pt>
                <c:pt idx="103">
                  <c:v>2.6969875317644449</c:v>
                </c:pt>
                <c:pt idx="104">
                  <c:v>2.6840004731433482</c:v>
                </c:pt>
                <c:pt idx="105">
                  <c:v>2.6774751818737155</c:v>
                </c:pt>
                <c:pt idx="106">
                  <c:v>2.651159012718693</c:v>
                </c:pt>
                <c:pt idx="107">
                  <c:v>2.6378699272813564</c:v>
                </c:pt>
                <c:pt idx="108">
                  <c:v>2.6244919509797628</c:v>
                </c:pt>
                <c:pt idx="109">
                  <c:v>2.6042556906485936</c:v>
                </c:pt>
                <c:pt idx="110">
                  <c:v>2.5974645126463174</c:v>
                </c:pt>
                <c:pt idx="111">
                  <c:v>2.5700668239299933</c:v>
                </c:pt>
                <c:pt idx="112">
                  <c:v>2.5562259382408459</c:v>
                </c:pt>
                <c:pt idx="113">
                  <c:v>2.5492694094881965</c:v>
                </c:pt>
                <c:pt idx="114">
                  <c:v>2.5352833385062548</c:v>
                </c:pt>
                <c:pt idx="115">
                  <c:v>2.5141191198451809</c:v>
                </c:pt>
                <c:pt idx="116">
                  <c:v>2.4855472053502279</c:v>
                </c:pt>
                <c:pt idx="117">
                  <c:v>2.4783399903436312</c:v>
                </c:pt>
                <c:pt idx="118">
                  <c:v>2.4783399903436312</c:v>
                </c:pt>
                <c:pt idx="119">
                  <c:v>2.4711067094032542</c:v>
                </c:pt>
                <c:pt idx="120">
                  <c:v>2.4565611907450946</c:v>
                </c:pt>
                <c:pt idx="121">
                  <c:v>2.4492485683388736</c:v>
                </c:pt>
                <c:pt idx="122">
                  <c:v>2.4345426197283557</c:v>
                </c:pt>
                <c:pt idx="123">
                  <c:v>2.4197277371726322</c:v>
                </c:pt>
                <c:pt idx="124">
                  <c:v>2.4197277371726322</c:v>
                </c:pt>
                <c:pt idx="125">
                  <c:v>2.3972975955323523</c:v>
                </c:pt>
                <c:pt idx="126">
                  <c:v>2.3897646299413986</c:v>
                </c:pt>
                <c:pt idx="127">
                  <c:v>2.3593457926143411</c:v>
                </c:pt>
                <c:pt idx="128">
                  <c:v>2.3516682400000093</c:v>
                </c:pt>
                <c:pt idx="129">
                  <c:v>2.3822031842615865</c:v>
                </c:pt>
                <c:pt idx="130">
                  <c:v>2.3593457926143411</c:v>
                </c:pt>
                <c:pt idx="131">
                  <c:v>2.3362241478121888</c:v>
                </c:pt>
                <c:pt idx="132">
                  <c:v>2.3284571477593934</c:v>
                </c:pt>
                <c:pt idx="133">
                  <c:v>2.3206598669280791</c:v>
                </c:pt>
                <c:pt idx="134">
                  <c:v>2.3049735120060273</c:v>
                </c:pt>
                <c:pt idx="135">
                  <c:v>2.3049735120060273</c:v>
                </c:pt>
                <c:pt idx="136">
                  <c:v>2.2812108562325215</c:v>
                </c:pt>
                <c:pt idx="137">
                  <c:v>2.2891631529918008</c:v>
                </c:pt>
                <c:pt idx="138">
                  <c:v>2.2652107708983693</c:v>
                </c:pt>
                <c:pt idx="139">
                  <c:v>2.2571624702989186</c:v>
                </c:pt>
                <c:pt idx="140">
                  <c:v>2.2409680498336799</c:v>
                </c:pt>
                <c:pt idx="141">
                  <c:v>2.2409680498336799</c:v>
                </c:pt>
                <c:pt idx="142">
                  <c:v>2.2246414285553575</c:v>
                </c:pt>
                <c:pt idx="143">
                  <c:v>2.2246414285553575</c:v>
                </c:pt>
                <c:pt idx="144">
                  <c:v>2.2246414285553575</c:v>
                </c:pt>
                <c:pt idx="145">
                  <c:v>2.216427864650051</c:v>
                </c:pt>
                <c:pt idx="146">
                  <c:v>2.1915828246529365</c:v>
                </c:pt>
                <c:pt idx="147">
                  <c:v>2.1915828246529365</c:v>
                </c:pt>
                <c:pt idx="148">
                  <c:v>2.1832320818319757</c:v>
                </c:pt>
                <c:pt idx="149">
                  <c:v>2.1664252602392167</c:v>
                </c:pt>
                <c:pt idx="150">
                  <c:v>2.1664252602392167</c:v>
                </c:pt>
                <c:pt idx="151">
                  <c:v>2.1664252602392167</c:v>
                </c:pt>
                <c:pt idx="152">
                  <c:v>2.1579685880201742</c:v>
                </c:pt>
                <c:pt idx="153">
                  <c:v>2.149476006257272</c:v>
                </c:pt>
                <c:pt idx="154">
                  <c:v>2.1323818851003553</c:v>
                </c:pt>
                <c:pt idx="155">
                  <c:v>2.1237797213015739</c:v>
                </c:pt>
                <c:pt idx="156">
                  <c:v>2.1064635958153448</c:v>
                </c:pt>
                <c:pt idx="157">
                  <c:v>2.1064635958153448</c:v>
                </c:pt>
                <c:pt idx="158">
                  <c:v>2.0977489850774336</c:v>
                </c:pt>
                <c:pt idx="159">
                  <c:v>2.0889962358778358</c:v>
                </c:pt>
                <c:pt idx="160">
                  <c:v>2.0802050129317595</c:v>
                </c:pt>
                <c:pt idx="161">
                  <c:v>2.0713749765135256</c:v>
                </c:pt>
                <c:pt idx="162">
                  <c:v>2.0625057823777944</c:v>
                </c:pt>
                <c:pt idx="163">
                  <c:v>2.0625057823777944</c:v>
                </c:pt>
                <c:pt idx="164">
                  <c:v>2.0535970816790337</c:v>
                </c:pt>
                <c:pt idx="165">
                  <c:v>2.0356597417135132</c:v>
                </c:pt>
                <c:pt idx="166">
                  <c:v>2.0175600706736767</c:v>
                </c:pt>
                <c:pt idx="167">
                  <c:v>2.0175600706736767</c:v>
                </c:pt>
                <c:pt idx="168">
                  <c:v>2.0266303810044599</c:v>
                </c:pt>
                <c:pt idx="169">
                  <c:v>2.0175600706736767</c:v>
                </c:pt>
                <c:pt idx="170">
                  <c:v>2.0084484376019556</c:v>
                </c:pt>
                <c:pt idx="171">
                  <c:v>2.0084484376019556</c:v>
                </c:pt>
                <c:pt idx="172">
                  <c:v>2.0084484376019556</c:v>
                </c:pt>
                <c:pt idx="173">
                  <c:v>1.9992951035471322</c:v>
                </c:pt>
                <c:pt idx="174">
                  <c:v>1.9900996850498733</c:v>
                </c:pt>
                <c:pt idx="175">
                  <c:v>1.9808617933372841</c:v>
                </c:pt>
                <c:pt idx="176">
                  <c:v>1.9622570080126573</c:v>
                </c:pt>
                <c:pt idx="177">
                  <c:v>1.9528893093878041</c:v>
                </c:pt>
                <c:pt idx="178">
                  <c:v>1.9622570080126573</c:v>
                </c:pt>
                <c:pt idx="179">
                  <c:v>1.9434775273129792</c:v>
                </c:pt>
                <c:pt idx="180">
                  <c:v>1.9340212449210874</c:v>
                </c:pt>
                <c:pt idx="181">
                  <c:v>1.9340212449210874</c:v>
                </c:pt>
                <c:pt idx="182">
                  <c:v>1.9340212449210874</c:v>
                </c:pt>
                <c:pt idx="183">
                  <c:v>1.9245200394038913</c:v>
                </c:pt>
                <c:pt idx="184">
                  <c:v>1.9053811373715903</c:v>
                </c:pt>
                <c:pt idx="185">
                  <c:v>1.9053811373715903</c:v>
                </c:pt>
                <c:pt idx="186">
                  <c:v>1.8957425644996924</c:v>
                </c:pt>
                <c:pt idx="187">
                  <c:v>1.8860573155481162</c:v>
                </c:pt>
                <c:pt idx="188">
                  <c:v>1.8763249362457706</c:v>
                </c:pt>
                <c:pt idx="189">
                  <c:v>1.8860573155481162</c:v>
                </c:pt>
                <c:pt idx="190">
                  <c:v>1.8763249362457706</c:v>
                </c:pt>
                <c:pt idx="191">
                  <c:v>1.8665449656573869</c:v>
                </c:pt>
                <c:pt idx="192">
                  <c:v>1.8369147940871056</c:v>
                </c:pt>
                <c:pt idx="193">
                  <c:v>1.8369147940871056</c:v>
                </c:pt>
                <c:pt idx="194">
                  <c:v>1.8269397110650272</c:v>
                </c:pt>
                <c:pt idx="195">
                  <c:v>1.8169146274179389</c:v>
                </c:pt>
                <c:pt idx="196">
                  <c:v>1.8169146274179389</c:v>
                </c:pt>
                <c:pt idx="197">
                  <c:v>1.8269397110650272</c:v>
                </c:pt>
                <c:pt idx="198">
                  <c:v>1.8369147940871056</c:v>
                </c:pt>
                <c:pt idx="199">
                  <c:v>1.8269397110650272</c:v>
                </c:pt>
                <c:pt idx="200">
                  <c:v>1.8169146274179389</c:v>
                </c:pt>
                <c:pt idx="201">
                  <c:v>1.7865342964299884</c:v>
                </c:pt>
                <c:pt idx="202">
                  <c:v>1.7967124354449311</c:v>
                </c:pt>
                <c:pt idx="203">
                  <c:v>1.7967124354449311</c:v>
                </c:pt>
                <c:pt idx="204">
                  <c:v>1.7865342964299884</c:v>
                </c:pt>
                <c:pt idx="205">
                  <c:v>1.7763040950964475</c:v>
                </c:pt>
                <c:pt idx="206">
                  <c:v>1.7763040950964475</c:v>
                </c:pt>
                <c:pt idx="207">
                  <c:v>1.7660212960956103</c:v>
                </c:pt>
                <c:pt idx="208">
                  <c:v>1.7660212960956103</c:v>
                </c:pt>
                <c:pt idx="209">
                  <c:v>1.7452957220245173</c:v>
                </c:pt>
                <c:pt idx="210">
                  <c:v>1.7556853557787251</c:v>
                </c:pt>
                <c:pt idx="211">
                  <c:v>1.7452957220245173</c:v>
                </c:pt>
                <c:pt idx="212">
                  <c:v>1.7452957220245173</c:v>
                </c:pt>
                <c:pt idx="213">
                  <c:v>1.7348518340622139</c:v>
                </c:pt>
                <c:pt idx="214">
                  <c:v>1.7243531222899267</c:v>
                </c:pt>
                <c:pt idx="215">
                  <c:v>1.7243531222899267</c:v>
                </c:pt>
                <c:pt idx="216">
                  <c:v>1.713799008088239</c:v>
                </c:pt>
                <c:pt idx="217">
                  <c:v>1.7243531222899267</c:v>
                </c:pt>
                <c:pt idx="218">
                  <c:v>1.7243531222899267</c:v>
                </c:pt>
                <c:pt idx="219">
                  <c:v>1.7243531222899267</c:v>
                </c:pt>
                <c:pt idx="220">
                  <c:v>1.7031889036288526</c:v>
                </c:pt>
                <c:pt idx="221">
                  <c:v>1.6925222116781276</c:v>
                </c:pt>
                <c:pt idx="222">
                  <c:v>1.6925222116781276</c:v>
                </c:pt>
                <c:pt idx="223">
                  <c:v>1.6925222116781276</c:v>
                </c:pt>
                <c:pt idx="224">
                  <c:v>1.6925222116781276</c:v>
                </c:pt>
                <c:pt idx="225">
                  <c:v>1.6710166281256036</c:v>
                </c:pt>
                <c:pt idx="226">
                  <c:v>1.6817983253953566</c:v>
                </c:pt>
                <c:pt idx="227">
                  <c:v>1.6710166281256036</c:v>
                </c:pt>
                <c:pt idx="228">
                  <c:v>1.6710166281256036</c:v>
                </c:pt>
                <c:pt idx="229">
                  <c:v>1.6601764931869254</c:v>
                </c:pt>
                <c:pt idx="230">
                  <c:v>1.6492772836517959</c:v>
                </c:pt>
                <c:pt idx="231">
                  <c:v>1.6601764931869254</c:v>
                </c:pt>
                <c:pt idx="232">
                  <c:v>1.6817983253953566</c:v>
                </c:pt>
                <c:pt idx="233">
                  <c:v>1.6710166281256036</c:v>
                </c:pt>
                <c:pt idx="234">
                  <c:v>1.6710166281256036</c:v>
                </c:pt>
                <c:pt idx="235">
                  <c:v>1.6601764931869254</c:v>
                </c:pt>
                <c:pt idx="236">
                  <c:v>1.6601764931869254</c:v>
                </c:pt>
                <c:pt idx="237">
                  <c:v>1.6710166281256036</c:v>
                </c:pt>
                <c:pt idx="238">
                  <c:v>1.6601764931869254</c:v>
                </c:pt>
                <c:pt idx="239">
                  <c:v>1.6383183521225446</c:v>
                </c:pt>
                <c:pt idx="240">
                  <c:v>1.6492772836517959</c:v>
                </c:pt>
                <c:pt idx="241">
                  <c:v>1.6492772836517959</c:v>
                </c:pt>
                <c:pt idx="242">
                  <c:v>1.6383183521225446</c:v>
                </c:pt>
                <c:pt idx="243">
                  <c:v>1.6272990405006056</c:v>
                </c:pt>
                <c:pt idx="244">
                  <c:v>1.6272990405006056</c:v>
                </c:pt>
                <c:pt idx="245">
                  <c:v>1.6383183521225446</c:v>
                </c:pt>
                <c:pt idx="246">
                  <c:v>1.6383183521225446</c:v>
                </c:pt>
                <c:pt idx="247">
                  <c:v>1.6272990405006056</c:v>
                </c:pt>
                <c:pt idx="248">
                  <c:v>1.5938720785531244</c:v>
                </c:pt>
                <c:pt idx="249">
                  <c:v>1.605076589650464</c:v>
                </c:pt>
                <c:pt idx="250">
                  <c:v>1.5938720785531244</c:v>
                </c:pt>
                <c:pt idx="251">
                  <c:v>1.5938720785531244</c:v>
                </c:pt>
                <c:pt idx="252">
                  <c:v>1.5938720785531244</c:v>
                </c:pt>
                <c:pt idx="253">
                  <c:v>1.605076589650464</c:v>
                </c:pt>
                <c:pt idx="254">
                  <c:v>1.5938720785531244</c:v>
                </c:pt>
                <c:pt idx="255">
                  <c:v>1.5826044431166126</c:v>
                </c:pt>
                <c:pt idx="256">
                  <c:v>1.5826044431166126</c:v>
                </c:pt>
                <c:pt idx="257">
                  <c:v>1.5938720785531244</c:v>
                </c:pt>
                <c:pt idx="258">
                  <c:v>1.5826044431166126</c:v>
                </c:pt>
                <c:pt idx="259">
                  <c:v>1.5712729680452573</c:v>
                </c:pt>
                <c:pt idx="260">
                  <c:v>1.5712729680452573</c:v>
                </c:pt>
                <c:pt idx="261">
                  <c:v>1.5712729680452573</c:v>
                </c:pt>
                <c:pt idx="262">
                  <c:v>1.5598769258159821</c:v>
                </c:pt>
                <c:pt idx="263">
                  <c:v>1.5598769258159821</c:v>
                </c:pt>
                <c:pt idx="264">
                  <c:v>1.5712729680452573</c:v>
                </c:pt>
                <c:pt idx="265">
                  <c:v>1.5598769258159821</c:v>
                </c:pt>
                <c:pt idx="266">
                  <c:v>1.5484155763980123</c:v>
                </c:pt>
                <c:pt idx="267">
                  <c:v>1.5598769258159821</c:v>
                </c:pt>
                <c:pt idx="268">
                  <c:v>1.5598769258159821</c:v>
                </c:pt>
                <c:pt idx="269">
                  <c:v>1.5484155763980123</c:v>
                </c:pt>
                <c:pt idx="270">
                  <c:v>1.52529393159586</c:v>
                </c:pt>
                <c:pt idx="271">
                  <c:v>1.5484155763980123</c:v>
                </c:pt>
                <c:pt idx="272">
                  <c:v>1.536888166964512</c:v>
                </c:pt>
                <c:pt idx="273">
                  <c:v>1.536888166964512</c:v>
                </c:pt>
                <c:pt idx="274">
                  <c:v>1.536888166964512</c:v>
                </c:pt>
                <c:pt idx="275">
                  <c:v>1.52529393159586</c:v>
                </c:pt>
                <c:pt idx="276">
                  <c:v>1.52529393159586</c:v>
                </c:pt>
                <c:pt idx="277">
                  <c:v>1.52529393159586</c:v>
                </c:pt>
                <c:pt idx="278">
                  <c:v>1.52529393159586</c:v>
                </c:pt>
                <c:pt idx="279">
                  <c:v>1.52529393159586</c:v>
                </c:pt>
                <c:pt idx="280">
                  <c:v>1.5136320909742738</c:v>
                </c:pt>
                <c:pt idx="281">
                  <c:v>1.5136320909742738</c:v>
                </c:pt>
                <c:pt idx="282">
                  <c:v>1.5136320909742738</c:v>
                </c:pt>
                <c:pt idx="283">
                  <c:v>1.5136320909742738</c:v>
                </c:pt>
                <c:pt idx="284">
                  <c:v>1.5019018520694776</c:v>
                </c:pt>
                <c:pt idx="285">
                  <c:v>1.5136320909742738</c:v>
                </c:pt>
                <c:pt idx="286">
                  <c:v>1.4901024078151008</c:v>
                </c:pt>
                <c:pt idx="287">
                  <c:v>1.5136320909742738</c:v>
                </c:pt>
                <c:pt idx="288">
                  <c:v>1.4901024078151008</c:v>
                </c:pt>
                <c:pt idx="289">
                  <c:v>1.4901024078151008</c:v>
                </c:pt>
                <c:pt idx="290">
                  <c:v>1.5019018520694776</c:v>
                </c:pt>
                <c:pt idx="291">
                  <c:v>1.5019018520694776</c:v>
                </c:pt>
                <c:pt idx="292">
                  <c:v>1.4662926028024643</c:v>
                </c:pt>
                <c:pt idx="293">
                  <c:v>1.4782329367754719</c:v>
                </c:pt>
                <c:pt idx="294">
                  <c:v>1.4782329367754719</c:v>
                </c:pt>
                <c:pt idx="295">
                  <c:v>1.4782329367754719</c:v>
                </c:pt>
                <c:pt idx="296">
                  <c:v>1.4662926028024643</c:v>
                </c:pt>
                <c:pt idx="297">
                  <c:v>1.4662926028024643</c:v>
                </c:pt>
                <c:pt idx="298">
                  <c:v>1.4662926028024643</c:v>
                </c:pt>
                <c:pt idx="299">
                  <c:v>1.4542805546820405</c:v>
                </c:pt>
                <c:pt idx="300">
                  <c:v>1.4542805546820405</c:v>
                </c:pt>
                <c:pt idx="301">
                  <c:v>1.4542805546820405</c:v>
                </c:pt>
                <c:pt idx="302">
                  <c:v>1.4542805546820405</c:v>
                </c:pt>
                <c:pt idx="303">
                  <c:v>1.4421959257701154</c:v>
                </c:pt>
                <c:pt idx="304">
                  <c:v>1.4542805546820405</c:v>
                </c:pt>
                <c:pt idx="305">
                  <c:v>1.4542805546820405</c:v>
                </c:pt>
                <c:pt idx="306">
                  <c:v>1.4421959257701154</c:v>
                </c:pt>
                <c:pt idx="307">
                  <c:v>1.4421959257701154</c:v>
                </c:pt>
                <c:pt idx="308">
                  <c:v>1.4421959257701154</c:v>
                </c:pt>
                <c:pt idx="309">
                  <c:v>1.4421959257701154</c:v>
                </c:pt>
                <c:pt idx="310">
                  <c:v>1.4300378336173512</c:v>
                </c:pt>
                <c:pt idx="311">
                  <c:v>1.4421959257701154</c:v>
                </c:pt>
                <c:pt idx="312">
                  <c:v>1.4300378336173512</c:v>
                </c:pt>
                <c:pt idx="313">
                  <c:v>1.4300378336173512</c:v>
                </c:pt>
                <c:pt idx="314">
                  <c:v>1.417805379582479</c:v>
                </c:pt>
                <c:pt idx="315">
                  <c:v>1.417805379582479</c:v>
                </c:pt>
                <c:pt idx="316">
                  <c:v>1.4421959257701154</c:v>
                </c:pt>
                <c:pt idx="317">
                  <c:v>1.4300378336173512</c:v>
                </c:pt>
                <c:pt idx="318">
                  <c:v>1.4300378336173512</c:v>
                </c:pt>
                <c:pt idx="319">
                  <c:v>1.417805379582479</c:v>
                </c:pt>
                <c:pt idx="320">
                  <c:v>1.417805379582479</c:v>
                </c:pt>
                <c:pt idx="321">
                  <c:v>1.4300378336173512</c:v>
                </c:pt>
                <c:pt idx="322">
                  <c:v>1.417805379582479</c:v>
                </c:pt>
                <c:pt idx="323">
                  <c:v>1.417805379582479</c:v>
                </c:pt>
                <c:pt idx="324">
                  <c:v>1.405497648433722</c:v>
                </c:pt>
                <c:pt idx="325">
                  <c:v>1.4300378336173512</c:v>
                </c:pt>
                <c:pt idx="326">
                  <c:v>1.417805379582479</c:v>
                </c:pt>
                <c:pt idx="327">
                  <c:v>1.417805379582479</c:v>
                </c:pt>
                <c:pt idx="328">
                  <c:v>1.405497648433722</c:v>
                </c:pt>
                <c:pt idx="329">
                  <c:v>1.405497648433722</c:v>
                </c:pt>
                <c:pt idx="330">
                  <c:v>1.3931137079378804</c:v>
                </c:pt>
                <c:pt idx="331">
                  <c:v>1.3931137079378804</c:v>
                </c:pt>
                <c:pt idx="332">
                  <c:v>1.405497648433722</c:v>
                </c:pt>
                <c:pt idx="333">
                  <c:v>1.405497648433722</c:v>
                </c:pt>
                <c:pt idx="334">
                  <c:v>1.3931137079378804</c:v>
                </c:pt>
                <c:pt idx="335">
                  <c:v>1.3931137079378804</c:v>
                </c:pt>
                <c:pt idx="336">
                  <c:v>1.3931137079378804</c:v>
                </c:pt>
                <c:pt idx="337">
                  <c:v>1.380652608436608</c:v>
                </c:pt>
                <c:pt idx="338">
                  <c:v>1.380652608436608</c:v>
                </c:pt>
                <c:pt idx="339">
                  <c:v>1.3931137079378804</c:v>
                </c:pt>
                <c:pt idx="340">
                  <c:v>1.3931137079378804</c:v>
                </c:pt>
                <c:pt idx="341">
                  <c:v>1.380652608436608</c:v>
                </c:pt>
                <c:pt idx="342">
                  <c:v>1.3931137079378804</c:v>
                </c:pt>
                <c:pt idx="343">
                  <c:v>1.3931137079378804</c:v>
                </c:pt>
                <c:pt idx="344">
                  <c:v>1.380652608436608</c:v>
                </c:pt>
                <c:pt idx="345">
                  <c:v>1.3681133824094172</c:v>
                </c:pt>
                <c:pt idx="346">
                  <c:v>1.380652608436608</c:v>
                </c:pt>
                <c:pt idx="347">
                  <c:v>1.3681133824094172</c:v>
                </c:pt>
                <c:pt idx="348">
                  <c:v>1.380652608436608</c:v>
                </c:pt>
                <c:pt idx="349">
                  <c:v>1.3681133824094172</c:v>
                </c:pt>
                <c:pt idx="350">
                  <c:v>1.3681133824094172</c:v>
                </c:pt>
                <c:pt idx="351">
                  <c:v>1.3554950440228877</c:v>
                </c:pt>
                <c:pt idx="352">
                  <c:v>1.3554950440228877</c:v>
                </c:pt>
                <c:pt idx="353">
                  <c:v>1.3554950440228877</c:v>
                </c:pt>
                <c:pt idx="354">
                  <c:v>1.3554950440228877</c:v>
                </c:pt>
                <c:pt idx="355">
                  <c:v>1.3554950440228877</c:v>
                </c:pt>
                <c:pt idx="356">
                  <c:v>1.3554950440228877</c:v>
                </c:pt>
                <c:pt idx="357">
                  <c:v>1.3554950440228877</c:v>
                </c:pt>
                <c:pt idx="358">
                  <c:v>1.3300169924680283</c:v>
                </c:pt>
                <c:pt idx="359">
                  <c:v>1.3554950440228877</c:v>
                </c:pt>
                <c:pt idx="360">
                  <c:v>1.3427965886655702</c:v>
                </c:pt>
                <c:pt idx="361">
                  <c:v>1.3427965886655702</c:v>
                </c:pt>
                <c:pt idx="362">
                  <c:v>1.3427965886655702</c:v>
                </c:pt>
                <c:pt idx="363">
                  <c:v>1.3300169924680283</c:v>
                </c:pt>
                <c:pt idx="364">
                  <c:v>1.3427965886655702</c:v>
                </c:pt>
                <c:pt idx="365">
                  <c:v>1.3554950440228877</c:v>
                </c:pt>
                <c:pt idx="366">
                  <c:v>1.3427965886655702</c:v>
                </c:pt>
                <c:pt idx="367">
                  <c:v>1.3427965886655702</c:v>
                </c:pt>
                <c:pt idx="368">
                  <c:v>1.3427965886655702</c:v>
                </c:pt>
                <c:pt idx="369">
                  <c:v>1.3427965886655702</c:v>
                </c:pt>
                <c:pt idx="370">
                  <c:v>1.3427965886655702</c:v>
                </c:pt>
                <c:pt idx="371">
                  <c:v>1.3300169924680283</c:v>
                </c:pt>
                <c:pt idx="372">
                  <c:v>1.3300169924680283</c:v>
                </c:pt>
                <c:pt idx="373">
                  <c:v>1.3300169924680283</c:v>
                </c:pt>
                <c:pt idx="374">
                  <c:v>1.3300169924680283</c:v>
                </c:pt>
                <c:pt idx="375">
                  <c:v>1.3171552118074477</c:v>
                </c:pt>
                <c:pt idx="376">
                  <c:v>1.3171552118074477</c:v>
                </c:pt>
                <c:pt idx="377">
                  <c:v>1.2911808207538249</c:v>
                </c:pt>
                <c:pt idx="378">
                  <c:v>1.3171552118074477</c:v>
                </c:pt>
                <c:pt idx="379">
                  <c:v>1.3171552118074477</c:v>
                </c:pt>
                <c:pt idx="380">
                  <c:v>1.3042101827962123</c:v>
                </c:pt>
                <c:pt idx="381">
                  <c:v>1.3042101827962123</c:v>
                </c:pt>
                <c:pt idx="382">
                  <c:v>1.3171552118074477</c:v>
                </c:pt>
                <c:pt idx="383">
                  <c:v>1.3300169924680283</c:v>
                </c:pt>
                <c:pt idx="384">
                  <c:v>1.2911808207538249</c:v>
                </c:pt>
                <c:pt idx="385">
                  <c:v>1.3042101827962123</c:v>
                </c:pt>
                <c:pt idx="386">
                  <c:v>1.2911808207538249</c:v>
                </c:pt>
                <c:pt idx="387">
                  <c:v>1.3171552118074477</c:v>
                </c:pt>
                <c:pt idx="388">
                  <c:v>1.2911808207538249</c:v>
                </c:pt>
                <c:pt idx="389">
                  <c:v>1.3042101827962123</c:v>
                </c:pt>
                <c:pt idx="390">
                  <c:v>1.3042101827962123</c:v>
                </c:pt>
                <c:pt idx="391">
                  <c:v>1.2911808207538249</c:v>
                </c:pt>
                <c:pt idx="392">
                  <c:v>1.2911808207538249</c:v>
                </c:pt>
                <c:pt idx="393">
                  <c:v>1.278066019661507</c:v>
                </c:pt>
                <c:pt idx="394">
                  <c:v>1.278066019661507</c:v>
                </c:pt>
                <c:pt idx="395">
                  <c:v>1.2648646515988025</c:v>
                </c:pt>
                <c:pt idx="396">
                  <c:v>1.2648646515988025</c:v>
                </c:pt>
                <c:pt idx="397">
                  <c:v>1.278066019661507</c:v>
                </c:pt>
                <c:pt idx="398">
                  <c:v>1.278066019661507</c:v>
                </c:pt>
                <c:pt idx="399">
                  <c:v>1.278066019661507</c:v>
                </c:pt>
                <c:pt idx="400">
                  <c:v>1.2648646515988025</c:v>
                </c:pt>
                <c:pt idx="401">
                  <c:v>1.2648646515988025</c:v>
                </c:pt>
                <c:pt idx="402">
                  <c:v>1.2515755661614656</c:v>
                </c:pt>
                <c:pt idx="403">
                  <c:v>1.278066019661507</c:v>
                </c:pt>
                <c:pt idx="404">
                  <c:v>1.2648646515988025</c:v>
                </c:pt>
                <c:pt idx="405">
                  <c:v>1.2648646515988025</c:v>
                </c:pt>
                <c:pt idx="406">
                  <c:v>1.2648646515988025</c:v>
                </c:pt>
                <c:pt idx="407">
                  <c:v>1.2648646515988025</c:v>
                </c:pt>
                <c:pt idx="408">
                  <c:v>1.2648646515988025</c:v>
                </c:pt>
                <c:pt idx="409">
                  <c:v>1.2515755661614656</c:v>
                </c:pt>
                <c:pt idx="410">
                  <c:v>1.2247295254971842</c:v>
                </c:pt>
                <c:pt idx="411">
                  <c:v>1.2648646515988025</c:v>
                </c:pt>
                <c:pt idx="412">
                  <c:v>1.2515755661614656</c:v>
                </c:pt>
                <c:pt idx="413">
                  <c:v>1.2381975898598725</c:v>
                </c:pt>
                <c:pt idx="414">
                  <c:v>1.2381975898598725</c:v>
                </c:pt>
                <c:pt idx="415">
                  <c:v>1.2381975898598725</c:v>
                </c:pt>
                <c:pt idx="416">
                  <c:v>1.2381975898598725</c:v>
                </c:pt>
                <c:pt idx="417">
                  <c:v>1.2381975898598725</c:v>
                </c:pt>
                <c:pt idx="418">
                  <c:v>1.2381975898598725</c:v>
                </c:pt>
                <c:pt idx="419">
                  <c:v>1.2381975898598725</c:v>
                </c:pt>
                <c:pt idx="420">
                  <c:v>1.2381975898598725</c:v>
                </c:pt>
                <c:pt idx="421">
                  <c:v>1.2381975898598725</c:v>
                </c:pt>
                <c:pt idx="422">
                  <c:v>1.2381975898598725</c:v>
                </c:pt>
                <c:pt idx="423">
                  <c:v>1.2381975898598725</c:v>
                </c:pt>
                <c:pt idx="424">
                  <c:v>1.2247295254971842</c:v>
                </c:pt>
                <c:pt idx="425">
                  <c:v>1.2247295254971842</c:v>
                </c:pt>
                <c:pt idx="426">
                  <c:v>1.2111701515264266</c:v>
                </c:pt>
                <c:pt idx="427">
                  <c:v>1.2111701515264266</c:v>
                </c:pt>
                <c:pt idx="428">
                  <c:v>1.2247295254971842</c:v>
                </c:pt>
                <c:pt idx="429">
                  <c:v>1.2247295254971842</c:v>
                </c:pt>
                <c:pt idx="430">
                  <c:v>1.2111701515264266</c:v>
                </c:pt>
                <c:pt idx="431">
                  <c:v>1.197518221385627</c:v>
                </c:pt>
                <c:pt idx="432">
                  <c:v>1.197518221385627</c:v>
                </c:pt>
                <c:pt idx="433">
                  <c:v>1.197518221385627</c:v>
                </c:pt>
                <c:pt idx="434">
                  <c:v>1.2111701515264266</c:v>
                </c:pt>
                <c:pt idx="435">
                  <c:v>1.2111701515264266</c:v>
                </c:pt>
                <c:pt idx="436">
                  <c:v>1.2381975898598725</c:v>
                </c:pt>
                <c:pt idx="437">
                  <c:v>1.2111701515264266</c:v>
                </c:pt>
                <c:pt idx="438">
                  <c:v>1.2247295254971842</c:v>
                </c:pt>
                <c:pt idx="439">
                  <c:v>1.2111701515264266</c:v>
                </c:pt>
                <c:pt idx="440">
                  <c:v>1.2111701515264266</c:v>
                </c:pt>
                <c:pt idx="441">
                  <c:v>1.2381975898598725</c:v>
                </c:pt>
                <c:pt idx="442">
                  <c:v>1.2247295254971842</c:v>
                </c:pt>
                <c:pt idx="443">
                  <c:v>1.2247295254971842</c:v>
                </c:pt>
                <c:pt idx="444">
                  <c:v>1.2381975898598725</c:v>
                </c:pt>
                <c:pt idx="445">
                  <c:v>1.2247295254971842</c:v>
                </c:pt>
                <c:pt idx="446">
                  <c:v>1.2111701515264266</c:v>
                </c:pt>
                <c:pt idx="447">
                  <c:v>1.197518221385627</c:v>
                </c:pt>
                <c:pt idx="448">
                  <c:v>1.2111701515264266</c:v>
                </c:pt>
                <c:pt idx="449">
                  <c:v>1.197518221385627</c:v>
                </c:pt>
                <c:pt idx="450">
                  <c:v>1.2247295254971842</c:v>
                </c:pt>
                <c:pt idx="451">
                  <c:v>1.2111701515264266</c:v>
                </c:pt>
                <c:pt idx="452">
                  <c:v>1.2111701515264266</c:v>
                </c:pt>
                <c:pt idx="453">
                  <c:v>1.2247295254971842</c:v>
                </c:pt>
                <c:pt idx="454">
                  <c:v>1.2111701515264266</c:v>
                </c:pt>
                <c:pt idx="455">
                  <c:v>1.197518221385627</c:v>
                </c:pt>
                <c:pt idx="456">
                  <c:v>1.2247295254971842</c:v>
                </c:pt>
                <c:pt idx="457">
                  <c:v>1.1837724628101027</c:v>
                </c:pt>
                <c:pt idx="458">
                  <c:v>1.2111701515264266</c:v>
                </c:pt>
                <c:pt idx="459">
                  <c:v>1.1837724628101027</c:v>
                </c:pt>
                <c:pt idx="460">
                  <c:v>1.1559942384887689</c:v>
                </c:pt>
                <c:pt idx="461">
                  <c:v>1.2247295254971842</c:v>
                </c:pt>
                <c:pt idx="462">
                  <c:v>1.1837724628101027</c:v>
                </c:pt>
                <c:pt idx="463">
                  <c:v>1.1837724628101027</c:v>
                </c:pt>
                <c:pt idx="464">
                  <c:v>1.1837724628101027</c:v>
                </c:pt>
                <c:pt idx="465">
                  <c:v>1.1837724628101027</c:v>
                </c:pt>
                <c:pt idx="466">
                  <c:v>1.197518221385627</c:v>
                </c:pt>
                <c:pt idx="467">
                  <c:v>1.1559942384887689</c:v>
                </c:pt>
                <c:pt idx="468">
                  <c:v>1.1699315771209553</c:v>
                </c:pt>
                <c:pt idx="469">
                  <c:v>1.1837724628101027</c:v>
                </c:pt>
                <c:pt idx="470">
                  <c:v>1.1699315771209553</c:v>
                </c:pt>
                <c:pt idx="471">
                  <c:v>1.1699315771209553</c:v>
                </c:pt>
                <c:pt idx="472">
                  <c:v>1.1559942384887689</c:v>
                </c:pt>
                <c:pt idx="473">
                  <c:v>1.1699315771209553</c:v>
                </c:pt>
                <c:pt idx="474">
                  <c:v>1.197518221385627</c:v>
                </c:pt>
                <c:pt idx="475">
                  <c:v>1.1699315771209553</c:v>
                </c:pt>
                <c:pt idx="476">
                  <c:v>1.1837724628101027</c:v>
                </c:pt>
                <c:pt idx="477">
                  <c:v>1.1837724628101027</c:v>
                </c:pt>
                <c:pt idx="478">
                  <c:v>1.1699315771209553</c:v>
                </c:pt>
                <c:pt idx="479">
                  <c:v>1.1699315771209553</c:v>
                </c:pt>
                <c:pt idx="480">
                  <c:v>1.1699315771209553</c:v>
                </c:pt>
                <c:pt idx="481">
                  <c:v>1.1699315771209553</c:v>
                </c:pt>
                <c:pt idx="482">
                  <c:v>1.1699315771209553</c:v>
                </c:pt>
                <c:pt idx="483">
                  <c:v>1.1559942384887689</c:v>
                </c:pt>
                <c:pt idx="484">
                  <c:v>1.1559942384887689</c:v>
                </c:pt>
                <c:pt idx="485">
                  <c:v>1.1699315771209553</c:v>
                </c:pt>
                <c:pt idx="486">
                  <c:v>1.1699315771209553</c:v>
                </c:pt>
                <c:pt idx="487">
                  <c:v>1.1559942384887689</c:v>
                </c:pt>
                <c:pt idx="488">
                  <c:v>1.1699315771209553</c:v>
                </c:pt>
                <c:pt idx="489">
                  <c:v>1.1699315771209553</c:v>
                </c:pt>
                <c:pt idx="490">
                  <c:v>1.1559942384887689</c:v>
                </c:pt>
                <c:pt idx="491">
                  <c:v>1.1559942384887689</c:v>
                </c:pt>
                <c:pt idx="492">
                  <c:v>1.1419590931714756</c:v>
                </c:pt>
                <c:pt idx="493">
                  <c:v>1.1419590931714756</c:v>
                </c:pt>
                <c:pt idx="494">
                  <c:v>1.1699315771209553</c:v>
                </c:pt>
                <c:pt idx="495">
                  <c:v>1.1419590931714756</c:v>
                </c:pt>
                <c:pt idx="496">
                  <c:v>1.1699315771209553</c:v>
                </c:pt>
                <c:pt idx="497">
                  <c:v>1.1559942384887689</c:v>
                </c:pt>
                <c:pt idx="498">
                  <c:v>1.1559942384887689</c:v>
                </c:pt>
                <c:pt idx="499">
                  <c:v>1.1278247587252903</c:v>
                </c:pt>
                <c:pt idx="500">
                  <c:v>1.1559942384887689</c:v>
                </c:pt>
                <c:pt idx="501">
                  <c:v>1.1559942384887689</c:v>
                </c:pt>
                <c:pt idx="502">
                  <c:v>1.1699315771209553</c:v>
                </c:pt>
                <c:pt idx="503">
                  <c:v>1.1559942384887689</c:v>
                </c:pt>
                <c:pt idx="504">
                  <c:v>1.1278247587252903</c:v>
                </c:pt>
                <c:pt idx="505">
                  <c:v>1.1278247587252903</c:v>
                </c:pt>
                <c:pt idx="506">
                  <c:v>1.1135898231875629</c:v>
                </c:pt>
                <c:pt idx="507">
                  <c:v>1.1278247587252903</c:v>
                </c:pt>
                <c:pt idx="508">
                  <c:v>1.1135898231875629</c:v>
                </c:pt>
                <c:pt idx="509">
                  <c:v>1.1419590931714756</c:v>
                </c:pt>
                <c:pt idx="510">
                  <c:v>1.1559942384887689</c:v>
                </c:pt>
                <c:pt idx="511">
                  <c:v>1.1419590931714756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35040"/>
        <c:axId val="110940928"/>
      </c:scatterChart>
      <c:valAx>
        <c:axId val="110935040"/>
        <c:scaling>
          <c:orientation val="minMax"/>
          <c:max val="3"/>
        </c:scaling>
        <c:delete val="0"/>
        <c:axPos val="b"/>
        <c:majorGridlines/>
        <c:minorGridlines/>
        <c:numFmt formatCode="0.00" sourceLinked="1"/>
        <c:majorTickMark val="out"/>
        <c:minorTickMark val="none"/>
        <c:tickLblPos val="nextTo"/>
        <c:crossAx val="110940928"/>
        <c:crosses val="autoZero"/>
        <c:crossBetween val="midCat"/>
      </c:valAx>
      <c:valAx>
        <c:axId val="110940928"/>
        <c:scaling>
          <c:orientation val="minMax"/>
          <c:min val="1"/>
        </c:scaling>
        <c:delete val="0"/>
        <c:axPos val="l"/>
        <c:majorGridlines/>
        <c:minorGridlines/>
        <c:numFmt formatCode="0.000" sourceLinked="1"/>
        <c:majorTickMark val="out"/>
        <c:minorTickMark val="none"/>
        <c:tickLblPos val="nextTo"/>
        <c:crossAx val="110935040"/>
        <c:crosses val="autoZero"/>
        <c:crossBetween val="midCat"/>
        <c:min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ток</a:t>
            </a:r>
            <a:r>
              <a:rPr lang="ru-RU" baseline="0"/>
              <a:t> от времени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3460629921259837E-2"/>
          <c:y val="4.5455472995453036E-2"/>
          <c:w val="0.89041447944007002"/>
          <c:h val="0.864209678015600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Лист2!$I$1:$I$9</c:f>
              <c:strCache>
                <c:ptCount val="1"/>
                <c:pt idx="0">
                  <c:v>прогрев с накалом  16.03.22 накал 1) Time, sec. темпер C</c:v>
                </c:pt>
              </c:strCache>
            </c:strRef>
          </c:tx>
          <c:marker>
            <c:symbol val="circle"/>
            <c:size val="3"/>
          </c:marker>
          <c:xVal>
            <c:numRef>
              <c:f>Лист2!$H$10:$H$521</c:f>
              <c:numCache>
                <c:formatCode>General</c:formatCode>
                <c:ptCount val="5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</c:numCache>
            </c:numRef>
          </c:xVal>
          <c:yVal>
            <c:numRef>
              <c:f>Лист2!$I$10:$I$521</c:f>
              <c:numCache>
                <c:formatCode>General</c:formatCode>
                <c:ptCount val="512"/>
                <c:pt idx="0">
                  <c:v>6.46</c:v>
                </c:pt>
                <c:pt idx="1">
                  <c:v>6.34</c:v>
                </c:pt>
                <c:pt idx="2">
                  <c:v>6.21</c:v>
                </c:pt>
                <c:pt idx="3">
                  <c:v>6.0949999999999998</c:v>
                </c:pt>
                <c:pt idx="4">
                  <c:v>5.9850000000000003</c:v>
                </c:pt>
                <c:pt idx="5">
                  <c:v>5.875</c:v>
                </c:pt>
                <c:pt idx="6">
                  <c:v>5.76</c:v>
                </c:pt>
                <c:pt idx="7">
                  <c:v>5.65</c:v>
                </c:pt>
                <c:pt idx="8">
                  <c:v>5.5549999999999997</c:v>
                </c:pt>
                <c:pt idx="9">
                  <c:v>5.45</c:v>
                </c:pt>
                <c:pt idx="10">
                  <c:v>5.3550000000000004</c:v>
                </c:pt>
                <c:pt idx="11">
                  <c:v>5.2649999999999997</c:v>
                </c:pt>
                <c:pt idx="12">
                  <c:v>5.2149999999999999</c:v>
                </c:pt>
                <c:pt idx="13">
                  <c:v>5.15</c:v>
                </c:pt>
                <c:pt idx="14">
                  <c:v>5.0599999999999996</c:v>
                </c:pt>
                <c:pt idx="15">
                  <c:v>4.9649999999999999</c:v>
                </c:pt>
                <c:pt idx="16">
                  <c:v>4.875</c:v>
                </c:pt>
                <c:pt idx="17">
                  <c:v>4.79</c:v>
                </c:pt>
                <c:pt idx="18">
                  <c:v>4.7050000000000001</c:v>
                </c:pt>
                <c:pt idx="19">
                  <c:v>4.625</c:v>
                </c:pt>
                <c:pt idx="20">
                  <c:v>4.55</c:v>
                </c:pt>
                <c:pt idx="21">
                  <c:v>4.3949999999999996</c:v>
                </c:pt>
                <c:pt idx="22">
                  <c:v>4.3250000000000002</c:v>
                </c:pt>
                <c:pt idx="23">
                  <c:v>4.25</c:v>
                </c:pt>
                <c:pt idx="24">
                  <c:v>4.18</c:v>
                </c:pt>
                <c:pt idx="25">
                  <c:v>4.1100000000000003</c:v>
                </c:pt>
                <c:pt idx="26">
                  <c:v>4.0350000000000001</c:v>
                </c:pt>
                <c:pt idx="27">
                  <c:v>3.9750000000000001</c:v>
                </c:pt>
                <c:pt idx="28">
                  <c:v>3.91</c:v>
                </c:pt>
                <c:pt idx="29">
                  <c:v>3.85</c:v>
                </c:pt>
                <c:pt idx="30">
                  <c:v>3.7949999999999999</c:v>
                </c:pt>
                <c:pt idx="31">
                  <c:v>3.73</c:v>
                </c:pt>
                <c:pt idx="32">
                  <c:v>3.67</c:v>
                </c:pt>
                <c:pt idx="33">
                  <c:v>3.61</c:v>
                </c:pt>
                <c:pt idx="34">
                  <c:v>3.5550000000000002</c:v>
                </c:pt>
                <c:pt idx="35">
                  <c:v>3.4950000000000001</c:v>
                </c:pt>
                <c:pt idx="36">
                  <c:v>3.4350000000000001</c:v>
                </c:pt>
                <c:pt idx="37">
                  <c:v>3.3849999999999998</c:v>
                </c:pt>
                <c:pt idx="38">
                  <c:v>3.335</c:v>
                </c:pt>
                <c:pt idx="39">
                  <c:v>3.29</c:v>
                </c:pt>
                <c:pt idx="40">
                  <c:v>3.24</c:v>
                </c:pt>
                <c:pt idx="41">
                  <c:v>3.1850000000000001</c:v>
                </c:pt>
                <c:pt idx="42">
                  <c:v>3.14</c:v>
                </c:pt>
                <c:pt idx="43">
                  <c:v>3.09</c:v>
                </c:pt>
                <c:pt idx="44">
                  <c:v>3.05</c:v>
                </c:pt>
                <c:pt idx="45">
                  <c:v>3</c:v>
                </c:pt>
                <c:pt idx="46">
                  <c:v>2.9550000000000001</c:v>
                </c:pt>
                <c:pt idx="47">
                  <c:v>2.91</c:v>
                </c:pt>
                <c:pt idx="48">
                  <c:v>2.87</c:v>
                </c:pt>
                <c:pt idx="49">
                  <c:v>2.8250000000000002</c:v>
                </c:pt>
                <c:pt idx="50">
                  <c:v>2.7850000000000001</c:v>
                </c:pt>
                <c:pt idx="51">
                  <c:v>2.75</c:v>
                </c:pt>
                <c:pt idx="52">
                  <c:v>2.7050000000000001</c:v>
                </c:pt>
                <c:pt idx="53">
                  <c:v>2.6749999999999998</c:v>
                </c:pt>
                <c:pt idx="54">
                  <c:v>2.6349999999999998</c:v>
                </c:pt>
                <c:pt idx="55">
                  <c:v>2.6</c:v>
                </c:pt>
                <c:pt idx="56">
                  <c:v>2.5649999999999999</c:v>
                </c:pt>
                <c:pt idx="57">
                  <c:v>2.5350000000000001</c:v>
                </c:pt>
                <c:pt idx="58">
                  <c:v>2.5049999999999999</c:v>
                </c:pt>
                <c:pt idx="59">
                  <c:v>2.4649999999999999</c:v>
                </c:pt>
                <c:pt idx="60">
                  <c:v>2.4350000000000001</c:v>
                </c:pt>
                <c:pt idx="61">
                  <c:v>2.4049999999999998</c:v>
                </c:pt>
                <c:pt idx="62">
                  <c:v>2.38</c:v>
                </c:pt>
                <c:pt idx="63">
                  <c:v>2.3450000000000002</c:v>
                </c:pt>
                <c:pt idx="64">
                  <c:v>2.3149999999999999</c:v>
                </c:pt>
                <c:pt idx="65">
                  <c:v>2.29</c:v>
                </c:pt>
                <c:pt idx="66">
                  <c:v>2.2599999999999998</c:v>
                </c:pt>
                <c:pt idx="67">
                  <c:v>2.2349999999999999</c:v>
                </c:pt>
                <c:pt idx="68">
                  <c:v>2.2050000000000001</c:v>
                </c:pt>
                <c:pt idx="69">
                  <c:v>2.1749999999999998</c:v>
                </c:pt>
                <c:pt idx="70">
                  <c:v>2.15</c:v>
                </c:pt>
                <c:pt idx="71">
                  <c:v>2.125</c:v>
                </c:pt>
                <c:pt idx="72">
                  <c:v>2.0950000000000002</c:v>
                </c:pt>
                <c:pt idx="73">
                  <c:v>2.08</c:v>
                </c:pt>
                <c:pt idx="74">
                  <c:v>2.06</c:v>
                </c:pt>
                <c:pt idx="75">
                  <c:v>2.0299999999999998</c:v>
                </c:pt>
                <c:pt idx="76">
                  <c:v>2.0099999999999998</c:v>
                </c:pt>
                <c:pt idx="77">
                  <c:v>1.9850000000000001</c:v>
                </c:pt>
                <c:pt idx="78">
                  <c:v>1.9650000000000001</c:v>
                </c:pt>
                <c:pt idx="79">
                  <c:v>1.9450000000000001</c:v>
                </c:pt>
                <c:pt idx="80">
                  <c:v>1.93</c:v>
                </c:pt>
                <c:pt idx="81">
                  <c:v>1.905</c:v>
                </c:pt>
                <c:pt idx="82">
                  <c:v>1.885</c:v>
                </c:pt>
                <c:pt idx="83">
                  <c:v>1.86</c:v>
                </c:pt>
                <c:pt idx="84">
                  <c:v>1.84</c:v>
                </c:pt>
                <c:pt idx="85">
                  <c:v>1.825</c:v>
                </c:pt>
                <c:pt idx="86">
                  <c:v>1.81</c:v>
                </c:pt>
                <c:pt idx="87">
                  <c:v>1.7849999999999999</c:v>
                </c:pt>
                <c:pt idx="88">
                  <c:v>1.77</c:v>
                </c:pt>
                <c:pt idx="89">
                  <c:v>1.7549999999999999</c:v>
                </c:pt>
                <c:pt idx="90">
                  <c:v>1.7350000000000001</c:v>
                </c:pt>
                <c:pt idx="91">
                  <c:v>1.7150000000000001</c:v>
                </c:pt>
                <c:pt idx="92">
                  <c:v>1.7</c:v>
                </c:pt>
                <c:pt idx="93">
                  <c:v>1.6850000000000001</c:v>
                </c:pt>
                <c:pt idx="94">
                  <c:v>1.67</c:v>
                </c:pt>
                <c:pt idx="95">
                  <c:v>1.655</c:v>
                </c:pt>
                <c:pt idx="96">
                  <c:v>1.645</c:v>
                </c:pt>
                <c:pt idx="97">
                  <c:v>1.625</c:v>
                </c:pt>
                <c:pt idx="98">
                  <c:v>1.61</c:v>
                </c:pt>
                <c:pt idx="99">
                  <c:v>1.6</c:v>
                </c:pt>
                <c:pt idx="100">
                  <c:v>1.58</c:v>
                </c:pt>
                <c:pt idx="101">
                  <c:v>1.5649999999999999</c:v>
                </c:pt>
                <c:pt idx="102">
                  <c:v>1.55</c:v>
                </c:pt>
                <c:pt idx="103">
                  <c:v>1.5449999999999999</c:v>
                </c:pt>
                <c:pt idx="104">
                  <c:v>1.5349999999999999</c:v>
                </c:pt>
                <c:pt idx="105">
                  <c:v>1.53</c:v>
                </c:pt>
                <c:pt idx="106">
                  <c:v>1.51</c:v>
                </c:pt>
                <c:pt idx="107">
                  <c:v>1.5</c:v>
                </c:pt>
                <c:pt idx="108">
                  <c:v>1.49</c:v>
                </c:pt>
                <c:pt idx="109">
                  <c:v>1.4750000000000001</c:v>
                </c:pt>
                <c:pt idx="110">
                  <c:v>1.47</c:v>
                </c:pt>
                <c:pt idx="111">
                  <c:v>1.45</c:v>
                </c:pt>
                <c:pt idx="112">
                  <c:v>1.44</c:v>
                </c:pt>
                <c:pt idx="113">
                  <c:v>1.4350000000000001</c:v>
                </c:pt>
                <c:pt idx="114">
                  <c:v>1.425</c:v>
                </c:pt>
                <c:pt idx="115">
                  <c:v>1.41</c:v>
                </c:pt>
                <c:pt idx="116">
                  <c:v>1.39</c:v>
                </c:pt>
                <c:pt idx="117">
                  <c:v>1.385</c:v>
                </c:pt>
                <c:pt idx="118">
                  <c:v>1.385</c:v>
                </c:pt>
                <c:pt idx="119">
                  <c:v>1.38</c:v>
                </c:pt>
                <c:pt idx="120">
                  <c:v>1.37</c:v>
                </c:pt>
                <c:pt idx="121">
                  <c:v>1.365</c:v>
                </c:pt>
                <c:pt idx="122">
                  <c:v>1.355</c:v>
                </c:pt>
                <c:pt idx="123">
                  <c:v>1.345</c:v>
                </c:pt>
                <c:pt idx="124">
                  <c:v>1.345</c:v>
                </c:pt>
                <c:pt idx="125">
                  <c:v>1.33</c:v>
                </c:pt>
                <c:pt idx="126">
                  <c:v>1.325</c:v>
                </c:pt>
                <c:pt idx="127">
                  <c:v>1.3049999999999999</c:v>
                </c:pt>
                <c:pt idx="128">
                  <c:v>1.3</c:v>
                </c:pt>
                <c:pt idx="129">
                  <c:v>1.32</c:v>
                </c:pt>
                <c:pt idx="130">
                  <c:v>1.3049999999999999</c:v>
                </c:pt>
                <c:pt idx="131">
                  <c:v>1.29</c:v>
                </c:pt>
                <c:pt idx="132">
                  <c:v>1.2849999999999999</c:v>
                </c:pt>
                <c:pt idx="133">
                  <c:v>1.28</c:v>
                </c:pt>
                <c:pt idx="134">
                  <c:v>1.27</c:v>
                </c:pt>
                <c:pt idx="135">
                  <c:v>1.27</c:v>
                </c:pt>
                <c:pt idx="136">
                  <c:v>1.2549999999999999</c:v>
                </c:pt>
                <c:pt idx="137">
                  <c:v>1.26</c:v>
                </c:pt>
                <c:pt idx="138">
                  <c:v>1.2450000000000001</c:v>
                </c:pt>
                <c:pt idx="139">
                  <c:v>1.24</c:v>
                </c:pt>
                <c:pt idx="140">
                  <c:v>1.23</c:v>
                </c:pt>
                <c:pt idx="141">
                  <c:v>1.23</c:v>
                </c:pt>
                <c:pt idx="142">
                  <c:v>1.22</c:v>
                </c:pt>
                <c:pt idx="143">
                  <c:v>1.22</c:v>
                </c:pt>
                <c:pt idx="144">
                  <c:v>1.22</c:v>
                </c:pt>
                <c:pt idx="145">
                  <c:v>1.2150000000000001</c:v>
                </c:pt>
                <c:pt idx="146">
                  <c:v>1.2</c:v>
                </c:pt>
                <c:pt idx="147">
                  <c:v>1.2</c:v>
                </c:pt>
                <c:pt idx="148">
                  <c:v>1.1950000000000001</c:v>
                </c:pt>
                <c:pt idx="149">
                  <c:v>1.1850000000000001</c:v>
                </c:pt>
                <c:pt idx="150">
                  <c:v>1.1850000000000001</c:v>
                </c:pt>
                <c:pt idx="151">
                  <c:v>1.1850000000000001</c:v>
                </c:pt>
                <c:pt idx="152">
                  <c:v>1.18</c:v>
                </c:pt>
                <c:pt idx="153">
                  <c:v>1.175</c:v>
                </c:pt>
                <c:pt idx="154">
                  <c:v>1.165</c:v>
                </c:pt>
                <c:pt idx="155">
                  <c:v>1.1599999999999999</c:v>
                </c:pt>
                <c:pt idx="156">
                  <c:v>1.1499999999999999</c:v>
                </c:pt>
                <c:pt idx="157">
                  <c:v>1.1499999999999999</c:v>
                </c:pt>
                <c:pt idx="158">
                  <c:v>1.145</c:v>
                </c:pt>
                <c:pt idx="159">
                  <c:v>1.1399999999999999</c:v>
                </c:pt>
                <c:pt idx="160">
                  <c:v>1.135</c:v>
                </c:pt>
                <c:pt idx="161">
                  <c:v>1.1299999999999999</c:v>
                </c:pt>
                <c:pt idx="162">
                  <c:v>1.125</c:v>
                </c:pt>
                <c:pt idx="163">
                  <c:v>1.125</c:v>
                </c:pt>
                <c:pt idx="164">
                  <c:v>1.1200000000000001</c:v>
                </c:pt>
                <c:pt idx="165">
                  <c:v>1.1100000000000001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1.105</c:v>
                </c:pt>
                <c:pt idx="169">
                  <c:v>1.1000000000000001</c:v>
                </c:pt>
                <c:pt idx="170">
                  <c:v>1.095</c:v>
                </c:pt>
                <c:pt idx="171">
                  <c:v>1.095</c:v>
                </c:pt>
                <c:pt idx="172">
                  <c:v>1.095</c:v>
                </c:pt>
                <c:pt idx="173">
                  <c:v>1.0900000000000001</c:v>
                </c:pt>
                <c:pt idx="174">
                  <c:v>1.085</c:v>
                </c:pt>
                <c:pt idx="175">
                  <c:v>1.08</c:v>
                </c:pt>
                <c:pt idx="176">
                  <c:v>1.07</c:v>
                </c:pt>
                <c:pt idx="177">
                  <c:v>1.0649999999999999</c:v>
                </c:pt>
                <c:pt idx="178">
                  <c:v>1.07</c:v>
                </c:pt>
                <c:pt idx="179">
                  <c:v>1.06</c:v>
                </c:pt>
                <c:pt idx="180">
                  <c:v>1.0549999999999999</c:v>
                </c:pt>
                <c:pt idx="181">
                  <c:v>1.0549999999999999</c:v>
                </c:pt>
                <c:pt idx="182">
                  <c:v>1.0549999999999999</c:v>
                </c:pt>
                <c:pt idx="183">
                  <c:v>1.05</c:v>
                </c:pt>
                <c:pt idx="184">
                  <c:v>1.04</c:v>
                </c:pt>
                <c:pt idx="185">
                  <c:v>1.04</c:v>
                </c:pt>
                <c:pt idx="186">
                  <c:v>1.0349999999999999</c:v>
                </c:pt>
                <c:pt idx="187">
                  <c:v>1.03</c:v>
                </c:pt>
                <c:pt idx="188">
                  <c:v>1.0249999999999999</c:v>
                </c:pt>
                <c:pt idx="189">
                  <c:v>1.03</c:v>
                </c:pt>
                <c:pt idx="190">
                  <c:v>1.0249999999999999</c:v>
                </c:pt>
                <c:pt idx="191">
                  <c:v>1.02</c:v>
                </c:pt>
                <c:pt idx="192">
                  <c:v>1.0049999999999999</c:v>
                </c:pt>
                <c:pt idx="193">
                  <c:v>1.0049999999999999</c:v>
                </c:pt>
                <c:pt idx="194">
                  <c:v>1</c:v>
                </c:pt>
                <c:pt idx="195">
                  <c:v>0.995</c:v>
                </c:pt>
                <c:pt idx="196">
                  <c:v>0.995</c:v>
                </c:pt>
                <c:pt idx="197">
                  <c:v>1</c:v>
                </c:pt>
                <c:pt idx="198">
                  <c:v>1.0049999999999999</c:v>
                </c:pt>
                <c:pt idx="199">
                  <c:v>1</c:v>
                </c:pt>
                <c:pt idx="200">
                  <c:v>0.995</c:v>
                </c:pt>
                <c:pt idx="201">
                  <c:v>0.98</c:v>
                </c:pt>
                <c:pt idx="202">
                  <c:v>0.98499999999999999</c:v>
                </c:pt>
                <c:pt idx="203">
                  <c:v>0.98499999999999999</c:v>
                </c:pt>
                <c:pt idx="204">
                  <c:v>0.98</c:v>
                </c:pt>
                <c:pt idx="205">
                  <c:v>0.97499999999999998</c:v>
                </c:pt>
                <c:pt idx="206">
                  <c:v>0.97499999999999998</c:v>
                </c:pt>
                <c:pt idx="207">
                  <c:v>0.97</c:v>
                </c:pt>
                <c:pt idx="208">
                  <c:v>0.97</c:v>
                </c:pt>
                <c:pt idx="209">
                  <c:v>0.96</c:v>
                </c:pt>
                <c:pt idx="210">
                  <c:v>0.96499999999999997</c:v>
                </c:pt>
                <c:pt idx="211">
                  <c:v>0.96</c:v>
                </c:pt>
                <c:pt idx="212">
                  <c:v>0.96</c:v>
                </c:pt>
                <c:pt idx="213">
                  <c:v>0.95499999999999996</c:v>
                </c:pt>
                <c:pt idx="214">
                  <c:v>0.95</c:v>
                </c:pt>
                <c:pt idx="215">
                  <c:v>0.95</c:v>
                </c:pt>
                <c:pt idx="216">
                  <c:v>0.94499999999999995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0.94</c:v>
                </c:pt>
                <c:pt idx="221">
                  <c:v>0.93500000000000005</c:v>
                </c:pt>
                <c:pt idx="222">
                  <c:v>0.93500000000000005</c:v>
                </c:pt>
                <c:pt idx="223">
                  <c:v>0.93500000000000005</c:v>
                </c:pt>
                <c:pt idx="224">
                  <c:v>0.93500000000000005</c:v>
                </c:pt>
                <c:pt idx="225">
                  <c:v>0.92500000000000004</c:v>
                </c:pt>
                <c:pt idx="226">
                  <c:v>0.93</c:v>
                </c:pt>
                <c:pt idx="227">
                  <c:v>0.92500000000000004</c:v>
                </c:pt>
                <c:pt idx="228">
                  <c:v>0.92500000000000004</c:v>
                </c:pt>
                <c:pt idx="229">
                  <c:v>0.92</c:v>
                </c:pt>
                <c:pt idx="230">
                  <c:v>0.91500000000000004</c:v>
                </c:pt>
                <c:pt idx="231">
                  <c:v>0.92</c:v>
                </c:pt>
                <c:pt idx="232">
                  <c:v>0.93</c:v>
                </c:pt>
                <c:pt idx="233">
                  <c:v>0.92500000000000004</c:v>
                </c:pt>
                <c:pt idx="234">
                  <c:v>0.92500000000000004</c:v>
                </c:pt>
                <c:pt idx="235">
                  <c:v>0.92</c:v>
                </c:pt>
                <c:pt idx="236">
                  <c:v>0.92</c:v>
                </c:pt>
                <c:pt idx="237">
                  <c:v>0.92500000000000004</c:v>
                </c:pt>
                <c:pt idx="238">
                  <c:v>0.92</c:v>
                </c:pt>
                <c:pt idx="239">
                  <c:v>0.91</c:v>
                </c:pt>
                <c:pt idx="240">
                  <c:v>0.91500000000000004</c:v>
                </c:pt>
                <c:pt idx="241">
                  <c:v>0.91500000000000004</c:v>
                </c:pt>
                <c:pt idx="242">
                  <c:v>0.91</c:v>
                </c:pt>
                <c:pt idx="243">
                  <c:v>0.90500000000000003</c:v>
                </c:pt>
                <c:pt idx="244">
                  <c:v>0.90500000000000003</c:v>
                </c:pt>
                <c:pt idx="245">
                  <c:v>0.91</c:v>
                </c:pt>
                <c:pt idx="246">
                  <c:v>0.91</c:v>
                </c:pt>
                <c:pt idx="247">
                  <c:v>0.90500000000000003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0.89</c:v>
                </c:pt>
                <c:pt idx="251">
                  <c:v>0.89</c:v>
                </c:pt>
                <c:pt idx="252">
                  <c:v>0.89</c:v>
                </c:pt>
                <c:pt idx="253">
                  <c:v>0.89500000000000002</c:v>
                </c:pt>
                <c:pt idx="254">
                  <c:v>0.89</c:v>
                </c:pt>
                <c:pt idx="255">
                  <c:v>0.88500000000000001</c:v>
                </c:pt>
                <c:pt idx="256">
                  <c:v>0.88500000000000001</c:v>
                </c:pt>
                <c:pt idx="257">
                  <c:v>0.89</c:v>
                </c:pt>
                <c:pt idx="258">
                  <c:v>0.88500000000000001</c:v>
                </c:pt>
                <c:pt idx="259">
                  <c:v>0.88</c:v>
                </c:pt>
                <c:pt idx="260">
                  <c:v>0.88</c:v>
                </c:pt>
                <c:pt idx="261">
                  <c:v>0.88</c:v>
                </c:pt>
                <c:pt idx="262">
                  <c:v>0.875</c:v>
                </c:pt>
                <c:pt idx="263">
                  <c:v>0.875</c:v>
                </c:pt>
                <c:pt idx="264">
                  <c:v>0.88</c:v>
                </c:pt>
                <c:pt idx="265">
                  <c:v>0.875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0.87</c:v>
                </c:pt>
                <c:pt idx="270">
                  <c:v>0.86</c:v>
                </c:pt>
                <c:pt idx="271">
                  <c:v>0.87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0.86</c:v>
                </c:pt>
                <c:pt idx="276">
                  <c:v>0.86</c:v>
                </c:pt>
                <c:pt idx="277">
                  <c:v>0.86</c:v>
                </c:pt>
                <c:pt idx="278">
                  <c:v>0.86</c:v>
                </c:pt>
                <c:pt idx="279">
                  <c:v>0.86</c:v>
                </c:pt>
                <c:pt idx="280">
                  <c:v>0.85499999999999998</c:v>
                </c:pt>
                <c:pt idx="281">
                  <c:v>0.85499999999999998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0.84499999999999997</c:v>
                </c:pt>
                <c:pt idx="287">
                  <c:v>0.85499999999999998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0.83499999999999996</c:v>
                </c:pt>
                <c:pt idx="299">
                  <c:v>0.83</c:v>
                </c:pt>
                <c:pt idx="300">
                  <c:v>0.83</c:v>
                </c:pt>
                <c:pt idx="301">
                  <c:v>0.83</c:v>
                </c:pt>
                <c:pt idx="302">
                  <c:v>0.83</c:v>
                </c:pt>
                <c:pt idx="303">
                  <c:v>0.82499999999999996</c:v>
                </c:pt>
                <c:pt idx="304">
                  <c:v>0.83</c:v>
                </c:pt>
                <c:pt idx="305">
                  <c:v>0.83</c:v>
                </c:pt>
                <c:pt idx="306">
                  <c:v>0.82499999999999996</c:v>
                </c:pt>
                <c:pt idx="307">
                  <c:v>0.82499999999999996</c:v>
                </c:pt>
                <c:pt idx="308">
                  <c:v>0.82499999999999996</c:v>
                </c:pt>
                <c:pt idx="309">
                  <c:v>0.82499999999999996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0.82</c:v>
                </c:pt>
                <c:pt idx="313">
                  <c:v>0.82</c:v>
                </c:pt>
                <c:pt idx="314">
                  <c:v>0.81499999999999995</c:v>
                </c:pt>
                <c:pt idx="315">
                  <c:v>0.81499999999999995</c:v>
                </c:pt>
                <c:pt idx="316">
                  <c:v>0.82499999999999996</c:v>
                </c:pt>
                <c:pt idx="317">
                  <c:v>0.82</c:v>
                </c:pt>
                <c:pt idx="318">
                  <c:v>0.82</c:v>
                </c:pt>
                <c:pt idx="319">
                  <c:v>0.81499999999999995</c:v>
                </c:pt>
                <c:pt idx="320">
                  <c:v>0.81499999999999995</c:v>
                </c:pt>
                <c:pt idx="321">
                  <c:v>0.82</c:v>
                </c:pt>
                <c:pt idx="322">
                  <c:v>0.81499999999999995</c:v>
                </c:pt>
                <c:pt idx="323">
                  <c:v>0.81499999999999995</c:v>
                </c:pt>
                <c:pt idx="324">
                  <c:v>0.81</c:v>
                </c:pt>
                <c:pt idx="325">
                  <c:v>0.82</c:v>
                </c:pt>
                <c:pt idx="326">
                  <c:v>0.81499999999999995</c:v>
                </c:pt>
                <c:pt idx="327">
                  <c:v>0.81499999999999995</c:v>
                </c:pt>
                <c:pt idx="328">
                  <c:v>0.81</c:v>
                </c:pt>
                <c:pt idx="329">
                  <c:v>0.81</c:v>
                </c:pt>
                <c:pt idx="330">
                  <c:v>0.80500000000000005</c:v>
                </c:pt>
                <c:pt idx="331">
                  <c:v>0.80500000000000005</c:v>
                </c:pt>
                <c:pt idx="332">
                  <c:v>0.81</c:v>
                </c:pt>
                <c:pt idx="333">
                  <c:v>0.81</c:v>
                </c:pt>
                <c:pt idx="334">
                  <c:v>0.80500000000000005</c:v>
                </c:pt>
                <c:pt idx="335">
                  <c:v>0.80500000000000005</c:v>
                </c:pt>
                <c:pt idx="336">
                  <c:v>0.80500000000000005</c:v>
                </c:pt>
                <c:pt idx="337">
                  <c:v>0.8</c:v>
                </c:pt>
                <c:pt idx="338">
                  <c:v>0.8</c:v>
                </c:pt>
                <c:pt idx="339">
                  <c:v>0.80500000000000005</c:v>
                </c:pt>
                <c:pt idx="340">
                  <c:v>0.80500000000000005</c:v>
                </c:pt>
                <c:pt idx="341">
                  <c:v>0.8</c:v>
                </c:pt>
                <c:pt idx="342">
                  <c:v>0.80500000000000005</c:v>
                </c:pt>
                <c:pt idx="343">
                  <c:v>0.80500000000000005</c:v>
                </c:pt>
                <c:pt idx="344">
                  <c:v>0.8</c:v>
                </c:pt>
                <c:pt idx="345">
                  <c:v>0.79500000000000004</c:v>
                </c:pt>
                <c:pt idx="346">
                  <c:v>0.8</c:v>
                </c:pt>
                <c:pt idx="347">
                  <c:v>0.79500000000000004</c:v>
                </c:pt>
                <c:pt idx="348">
                  <c:v>0.8</c:v>
                </c:pt>
                <c:pt idx="349">
                  <c:v>0.79500000000000004</c:v>
                </c:pt>
                <c:pt idx="350">
                  <c:v>0.79500000000000004</c:v>
                </c:pt>
                <c:pt idx="351">
                  <c:v>0.79</c:v>
                </c:pt>
                <c:pt idx="352">
                  <c:v>0.79</c:v>
                </c:pt>
                <c:pt idx="353">
                  <c:v>0.79</c:v>
                </c:pt>
                <c:pt idx="354">
                  <c:v>0.79</c:v>
                </c:pt>
                <c:pt idx="355">
                  <c:v>0.79</c:v>
                </c:pt>
                <c:pt idx="356">
                  <c:v>0.79</c:v>
                </c:pt>
                <c:pt idx="357">
                  <c:v>0.79</c:v>
                </c:pt>
                <c:pt idx="358">
                  <c:v>0.78</c:v>
                </c:pt>
                <c:pt idx="359">
                  <c:v>0.79</c:v>
                </c:pt>
                <c:pt idx="360">
                  <c:v>0.78500000000000003</c:v>
                </c:pt>
                <c:pt idx="361">
                  <c:v>0.78500000000000003</c:v>
                </c:pt>
                <c:pt idx="362">
                  <c:v>0.78500000000000003</c:v>
                </c:pt>
                <c:pt idx="363">
                  <c:v>0.78</c:v>
                </c:pt>
                <c:pt idx="364">
                  <c:v>0.78500000000000003</c:v>
                </c:pt>
                <c:pt idx="365">
                  <c:v>0.79</c:v>
                </c:pt>
                <c:pt idx="366">
                  <c:v>0.78500000000000003</c:v>
                </c:pt>
                <c:pt idx="367">
                  <c:v>0.78500000000000003</c:v>
                </c:pt>
                <c:pt idx="368">
                  <c:v>0.78500000000000003</c:v>
                </c:pt>
                <c:pt idx="369">
                  <c:v>0.78500000000000003</c:v>
                </c:pt>
                <c:pt idx="370">
                  <c:v>0.78500000000000003</c:v>
                </c:pt>
                <c:pt idx="371">
                  <c:v>0.78</c:v>
                </c:pt>
                <c:pt idx="372">
                  <c:v>0.78</c:v>
                </c:pt>
                <c:pt idx="373">
                  <c:v>0.78</c:v>
                </c:pt>
                <c:pt idx="374">
                  <c:v>0.78</c:v>
                </c:pt>
                <c:pt idx="375">
                  <c:v>0.77500000000000002</c:v>
                </c:pt>
                <c:pt idx="376">
                  <c:v>0.77500000000000002</c:v>
                </c:pt>
                <c:pt idx="377">
                  <c:v>0.76500000000000001</c:v>
                </c:pt>
                <c:pt idx="378">
                  <c:v>0.77500000000000002</c:v>
                </c:pt>
                <c:pt idx="379">
                  <c:v>0.77500000000000002</c:v>
                </c:pt>
                <c:pt idx="380">
                  <c:v>0.77</c:v>
                </c:pt>
                <c:pt idx="381">
                  <c:v>0.77</c:v>
                </c:pt>
                <c:pt idx="382">
                  <c:v>0.77500000000000002</c:v>
                </c:pt>
                <c:pt idx="383">
                  <c:v>0.78</c:v>
                </c:pt>
                <c:pt idx="384">
                  <c:v>0.76500000000000001</c:v>
                </c:pt>
                <c:pt idx="385">
                  <c:v>0.77</c:v>
                </c:pt>
                <c:pt idx="386">
                  <c:v>0.76500000000000001</c:v>
                </c:pt>
                <c:pt idx="387">
                  <c:v>0.77500000000000002</c:v>
                </c:pt>
                <c:pt idx="388">
                  <c:v>0.76500000000000001</c:v>
                </c:pt>
                <c:pt idx="389">
                  <c:v>0.77</c:v>
                </c:pt>
                <c:pt idx="390">
                  <c:v>0.77</c:v>
                </c:pt>
                <c:pt idx="391">
                  <c:v>0.76500000000000001</c:v>
                </c:pt>
                <c:pt idx="392">
                  <c:v>0.76500000000000001</c:v>
                </c:pt>
                <c:pt idx="393">
                  <c:v>0.76</c:v>
                </c:pt>
                <c:pt idx="394">
                  <c:v>0.76</c:v>
                </c:pt>
                <c:pt idx="395">
                  <c:v>0.755</c:v>
                </c:pt>
                <c:pt idx="396">
                  <c:v>0.755</c:v>
                </c:pt>
                <c:pt idx="397">
                  <c:v>0.76</c:v>
                </c:pt>
                <c:pt idx="398">
                  <c:v>0.76</c:v>
                </c:pt>
                <c:pt idx="399">
                  <c:v>0.76</c:v>
                </c:pt>
                <c:pt idx="400">
                  <c:v>0.755</c:v>
                </c:pt>
                <c:pt idx="401">
                  <c:v>0.755</c:v>
                </c:pt>
                <c:pt idx="402">
                  <c:v>0.75</c:v>
                </c:pt>
                <c:pt idx="403">
                  <c:v>0.76</c:v>
                </c:pt>
                <c:pt idx="404">
                  <c:v>0.755</c:v>
                </c:pt>
                <c:pt idx="405">
                  <c:v>0.755</c:v>
                </c:pt>
                <c:pt idx="406">
                  <c:v>0.755</c:v>
                </c:pt>
                <c:pt idx="407">
                  <c:v>0.755</c:v>
                </c:pt>
                <c:pt idx="408">
                  <c:v>0.755</c:v>
                </c:pt>
                <c:pt idx="409">
                  <c:v>0.75</c:v>
                </c:pt>
                <c:pt idx="410">
                  <c:v>0.74</c:v>
                </c:pt>
                <c:pt idx="411">
                  <c:v>0.755</c:v>
                </c:pt>
                <c:pt idx="412">
                  <c:v>0.75</c:v>
                </c:pt>
                <c:pt idx="413">
                  <c:v>0.745</c:v>
                </c:pt>
                <c:pt idx="414">
                  <c:v>0.745</c:v>
                </c:pt>
                <c:pt idx="415">
                  <c:v>0.745</c:v>
                </c:pt>
                <c:pt idx="416">
                  <c:v>0.745</c:v>
                </c:pt>
                <c:pt idx="417">
                  <c:v>0.745</c:v>
                </c:pt>
                <c:pt idx="418">
                  <c:v>0.745</c:v>
                </c:pt>
                <c:pt idx="419">
                  <c:v>0.745</c:v>
                </c:pt>
                <c:pt idx="420">
                  <c:v>0.745</c:v>
                </c:pt>
                <c:pt idx="421">
                  <c:v>0.745</c:v>
                </c:pt>
                <c:pt idx="422">
                  <c:v>0.745</c:v>
                </c:pt>
                <c:pt idx="423">
                  <c:v>0.745</c:v>
                </c:pt>
                <c:pt idx="424">
                  <c:v>0.74</c:v>
                </c:pt>
                <c:pt idx="425">
                  <c:v>0.74</c:v>
                </c:pt>
                <c:pt idx="426">
                  <c:v>0.73499999999999999</c:v>
                </c:pt>
                <c:pt idx="427">
                  <c:v>0.73499999999999999</c:v>
                </c:pt>
                <c:pt idx="428">
                  <c:v>0.74</c:v>
                </c:pt>
                <c:pt idx="429">
                  <c:v>0.74</c:v>
                </c:pt>
                <c:pt idx="430">
                  <c:v>0.73499999999999999</c:v>
                </c:pt>
                <c:pt idx="431">
                  <c:v>0.73</c:v>
                </c:pt>
                <c:pt idx="432">
                  <c:v>0.73</c:v>
                </c:pt>
                <c:pt idx="433">
                  <c:v>0.73</c:v>
                </c:pt>
                <c:pt idx="434">
                  <c:v>0.73499999999999999</c:v>
                </c:pt>
                <c:pt idx="435">
                  <c:v>0.73499999999999999</c:v>
                </c:pt>
                <c:pt idx="436">
                  <c:v>0.745</c:v>
                </c:pt>
                <c:pt idx="437">
                  <c:v>0.73499999999999999</c:v>
                </c:pt>
                <c:pt idx="438">
                  <c:v>0.74</c:v>
                </c:pt>
                <c:pt idx="439">
                  <c:v>0.73499999999999999</c:v>
                </c:pt>
                <c:pt idx="440">
                  <c:v>0.73499999999999999</c:v>
                </c:pt>
                <c:pt idx="441">
                  <c:v>0.745</c:v>
                </c:pt>
                <c:pt idx="442">
                  <c:v>0.74</c:v>
                </c:pt>
                <c:pt idx="443">
                  <c:v>0.74</c:v>
                </c:pt>
                <c:pt idx="444">
                  <c:v>0.745</c:v>
                </c:pt>
                <c:pt idx="445">
                  <c:v>0.74</c:v>
                </c:pt>
                <c:pt idx="446">
                  <c:v>0.73499999999999999</c:v>
                </c:pt>
                <c:pt idx="447">
                  <c:v>0.73</c:v>
                </c:pt>
                <c:pt idx="448">
                  <c:v>0.73499999999999999</c:v>
                </c:pt>
                <c:pt idx="449">
                  <c:v>0.73</c:v>
                </c:pt>
                <c:pt idx="450">
                  <c:v>0.74</c:v>
                </c:pt>
                <c:pt idx="451">
                  <c:v>0.73499999999999999</c:v>
                </c:pt>
                <c:pt idx="452">
                  <c:v>0.73499999999999999</c:v>
                </c:pt>
                <c:pt idx="453">
                  <c:v>0.74</c:v>
                </c:pt>
                <c:pt idx="454">
                  <c:v>0.73499999999999999</c:v>
                </c:pt>
                <c:pt idx="455">
                  <c:v>0.73</c:v>
                </c:pt>
                <c:pt idx="456">
                  <c:v>0.74</c:v>
                </c:pt>
                <c:pt idx="457">
                  <c:v>0.72499999999999998</c:v>
                </c:pt>
                <c:pt idx="458">
                  <c:v>0.73499999999999999</c:v>
                </c:pt>
                <c:pt idx="459">
                  <c:v>0.72499999999999998</c:v>
                </c:pt>
                <c:pt idx="460">
                  <c:v>0.71499999999999997</c:v>
                </c:pt>
                <c:pt idx="461">
                  <c:v>0.74</c:v>
                </c:pt>
                <c:pt idx="462">
                  <c:v>0.72499999999999998</c:v>
                </c:pt>
                <c:pt idx="463">
                  <c:v>0.72499999999999998</c:v>
                </c:pt>
                <c:pt idx="464">
                  <c:v>0.72499999999999998</c:v>
                </c:pt>
                <c:pt idx="465">
                  <c:v>0.72499999999999998</c:v>
                </c:pt>
                <c:pt idx="466">
                  <c:v>0.73</c:v>
                </c:pt>
                <c:pt idx="467">
                  <c:v>0.71499999999999997</c:v>
                </c:pt>
                <c:pt idx="468">
                  <c:v>0.72</c:v>
                </c:pt>
                <c:pt idx="469">
                  <c:v>0.72499999999999998</c:v>
                </c:pt>
                <c:pt idx="470">
                  <c:v>0.72</c:v>
                </c:pt>
                <c:pt idx="471">
                  <c:v>0.72</c:v>
                </c:pt>
                <c:pt idx="472">
                  <c:v>0.71499999999999997</c:v>
                </c:pt>
                <c:pt idx="473">
                  <c:v>0.72</c:v>
                </c:pt>
                <c:pt idx="474">
                  <c:v>0.73</c:v>
                </c:pt>
                <c:pt idx="475">
                  <c:v>0.72</c:v>
                </c:pt>
                <c:pt idx="476">
                  <c:v>0.72499999999999998</c:v>
                </c:pt>
                <c:pt idx="477">
                  <c:v>0.72499999999999998</c:v>
                </c:pt>
                <c:pt idx="478">
                  <c:v>0.72</c:v>
                </c:pt>
                <c:pt idx="479">
                  <c:v>0.72</c:v>
                </c:pt>
                <c:pt idx="480">
                  <c:v>0.72</c:v>
                </c:pt>
                <c:pt idx="481">
                  <c:v>0.72</c:v>
                </c:pt>
                <c:pt idx="482">
                  <c:v>0.72</c:v>
                </c:pt>
                <c:pt idx="483">
                  <c:v>0.71499999999999997</c:v>
                </c:pt>
                <c:pt idx="484">
                  <c:v>0.71499999999999997</c:v>
                </c:pt>
                <c:pt idx="485">
                  <c:v>0.72</c:v>
                </c:pt>
                <c:pt idx="486">
                  <c:v>0.72</c:v>
                </c:pt>
                <c:pt idx="487">
                  <c:v>0.71499999999999997</c:v>
                </c:pt>
                <c:pt idx="488">
                  <c:v>0.72</c:v>
                </c:pt>
                <c:pt idx="489">
                  <c:v>0.72</c:v>
                </c:pt>
                <c:pt idx="490">
                  <c:v>0.71499999999999997</c:v>
                </c:pt>
                <c:pt idx="491">
                  <c:v>0.71499999999999997</c:v>
                </c:pt>
                <c:pt idx="492">
                  <c:v>0.71</c:v>
                </c:pt>
                <c:pt idx="493">
                  <c:v>0.71</c:v>
                </c:pt>
                <c:pt idx="494">
                  <c:v>0.72</c:v>
                </c:pt>
                <c:pt idx="495">
                  <c:v>0.71</c:v>
                </c:pt>
                <c:pt idx="496">
                  <c:v>0.72</c:v>
                </c:pt>
                <c:pt idx="497">
                  <c:v>0.71499999999999997</c:v>
                </c:pt>
                <c:pt idx="498">
                  <c:v>0.71499999999999997</c:v>
                </c:pt>
                <c:pt idx="499">
                  <c:v>0.70499999999999996</c:v>
                </c:pt>
                <c:pt idx="500">
                  <c:v>0.71499999999999997</c:v>
                </c:pt>
                <c:pt idx="501">
                  <c:v>0.71499999999999997</c:v>
                </c:pt>
                <c:pt idx="502">
                  <c:v>0.72</c:v>
                </c:pt>
                <c:pt idx="503">
                  <c:v>0.71499999999999997</c:v>
                </c:pt>
                <c:pt idx="504">
                  <c:v>0.70499999999999996</c:v>
                </c:pt>
                <c:pt idx="505">
                  <c:v>0.70499999999999996</c:v>
                </c:pt>
                <c:pt idx="506">
                  <c:v>0.7</c:v>
                </c:pt>
                <c:pt idx="507">
                  <c:v>0.70499999999999996</c:v>
                </c:pt>
                <c:pt idx="508">
                  <c:v>0.7</c:v>
                </c:pt>
                <c:pt idx="509">
                  <c:v>0.71</c:v>
                </c:pt>
                <c:pt idx="510">
                  <c:v>0.71499999999999997</c:v>
                </c:pt>
                <c:pt idx="511">
                  <c:v>0.71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01760"/>
        <c:axId val="60103296"/>
      </c:scatterChart>
      <c:valAx>
        <c:axId val="60101760"/>
        <c:scaling>
          <c:orientation val="minMax"/>
          <c:max val="500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crossAx val="60103296"/>
        <c:crosses val="autoZero"/>
        <c:crossBetween val="midCat"/>
      </c:valAx>
      <c:valAx>
        <c:axId val="60103296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60101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Лист2!$L$1:$L$9</c:f>
              <c:strCache>
                <c:ptCount val="1"/>
                <c:pt idx="0">
                  <c:v>прогрев с накалом  16.03.22 накал 1) Time, sec. темпер C</c:v>
                </c:pt>
              </c:strCache>
            </c:strRef>
          </c:tx>
          <c:marker>
            <c:symbol val="diamond"/>
            <c:size val="3"/>
          </c:marker>
          <c:xVal>
            <c:numRef>
              <c:f>Лист2!$K$10:$K$521</c:f>
              <c:numCache>
                <c:formatCode>General</c:formatCode>
                <c:ptCount val="5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</c:numCache>
            </c:numRef>
          </c:xVal>
          <c:yVal>
            <c:numRef>
              <c:f>Лист2!$L$10:$L$521</c:f>
              <c:numCache>
                <c:formatCode>0.00</c:formatCode>
                <c:ptCount val="512"/>
                <c:pt idx="0">
                  <c:v>3.7312586355890209</c:v>
                </c:pt>
                <c:pt idx="1">
                  <c:v>3.6937575368982691</c:v>
                </c:pt>
                <c:pt idx="2">
                  <c:v>3.6523217918907749</c:v>
                </c:pt>
                <c:pt idx="3">
                  <c:v>3.6149375258664698</c:v>
                </c:pt>
                <c:pt idx="4">
                  <c:v>3.5785126780198731</c:v>
                </c:pt>
                <c:pt idx="5">
                  <c:v>3.5414121200604454</c:v>
                </c:pt>
                <c:pt idx="6">
                  <c:v>3.5018749494155998</c:v>
                </c:pt>
                <c:pt idx="7">
                  <c:v>3.463311090316699</c:v>
                </c:pt>
                <c:pt idx="8">
                  <c:v>3.4293968461831867</c:v>
                </c:pt>
                <c:pt idx="9">
                  <c:v>3.3912312173503056</c:v>
                </c:pt>
                <c:pt idx="10">
                  <c:v>3.3560614077994244</c:v>
                </c:pt>
                <c:pt idx="11">
                  <c:v>3.3221622911718773</c:v>
                </c:pt>
                <c:pt idx="12">
                  <c:v>3.3030781769054713</c:v>
                </c:pt>
                <c:pt idx="13">
                  <c:v>3.2779934293512896</c:v>
                </c:pt>
                <c:pt idx="14">
                  <c:v>3.2427329665987483</c:v>
                </c:pt>
                <c:pt idx="15">
                  <c:v>3.2048265949942718</c:v>
                </c:pt>
                <c:pt idx="16">
                  <c:v>3.1682402088996211</c:v>
                </c:pt>
                <c:pt idx="17">
                  <c:v>3.1330608228456476</c:v>
                </c:pt>
                <c:pt idx="18">
                  <c:v>3.0972515460746859</c:v>
                </c:pt>
                <c:pt idx="19">
                  <c:v>3.0629527419287772</c:v>
                </c:pt>
                <c:pt idx="20">
                  <c:v>3.0302544659257178</c:v>
                </c:pt>
                <c:pt idx="21">
                  <c:v>2.9609350622742805</c:v>
                </c:pt>
                <c:pt idx="22">
                  <c:v>2.9288242807676852</c:v>
                </c:pt>
                <c:pt idx="23">
                  <c:v>2.8938379658726507</c:v>
                </c:pt>
                <c:pt idx="24">
                  <c:v>2.8606224930733295</c:v>
                </c:pt>
                <c:pt idx="25">
                  <c:v>2.8268460570162866</c:v>
                </c:pt>
                <c:pt idx="26">
                  <c:v>2.7900126034438246</c:v>
                </c:pt>
                <c:pt idx="27">
                  <c:v>2.7600494962125905</c:v>
                </c:pt>
                <c:pt idx="28">
                  <c:v>2.727074747994549</c:v>
                </c:pt>
                <c:pt idx="29">
                  <c:v>2.6961462965993856</c:v>
                </c:pt>
                <c:pt idx="30">
                  <c:v>2.6673688216951863</c:v>
                </c:pt>
                <c:pt idx="31">
                  <c:v>2.6328164673114482</c:v>
                </c:pt>
                <c:pt idx="32">
                  <c:v>2.6003833241329577</c:v>
                </c:pt>
                <c:pt idx="33">
                  <c:v>2.5674155446895792</c:v>
                </c:pt>
                <c:pt idx="34">
                  <c:v>2.5367101265104086</c:v>
                </c:pt>
                <c:pt idx="35">
                  <c:v>2.5026667513715473</c:v>
                </c:pt>
                <c:pt idx="36">
                  <c:v>2.4680338513486255</c:v>
                </c:pt>
                <c:pt idx="37">
                  <c:v>2.4387078127284765</c:v>
                </c:pt>
                <c:pt idx="38">
                  <c:v>2.4089453587351741</c:v>
                </c:pt>
                <c:pt idx="39">
                  <c:v>2.3817751295545611</c:v>
                </c:pt>
                <c:pt idx="40">
                  <c:v>2.3511466596084762</c:v>
                </c:pt>
                <c:pt idx="41">
                  <c:v>2.3169045780482533</c:v>
                </c:pt>
                <c:pt idx="42">
                  <c:v>2.2884455998403239</c:v>
                </c:pt>
                <c:pt idx="43">
                  <c:v>2.2563421818193081</c:v>
                </c:pt>
                <c:pt idx="44">
                  <c:v>2.2302831812386406</c:v>
                </c:pt>
                <c:pt idx="45">
                  <c:v>2.1972245773362196</c:v>
                </c:pt>
                <c:pt idx="46">
                  <c:v>2.166997301716123</c:v>
                </c:pt>
                <c:pt idx="47">
                  <c:v>2.1363061623668025</c:v>
                </c:pt>
                <c:pt idx="48">
                  <c:v>2.1086240595430596</c:v>
                </c:pt>
                <c:pt idx="49">
                  <c:v>2.0770167291968087</c:v>
                </c:pt>
                <c:pt idx="50">
                  <c:v>2.0484957467584946</c:v>
                </c:pt>
                <c:pt idx="51">
                  <c:v>2.0232018233569597</c:v>
                </c:pt>
                <c:pt idx="52">
                  <c:v>1.9902038245968896</c:v>
                </c:pt>
                <c:pt idx="53">
                  <c:v>1.9678987606959395</c:v>
                </c:pt>
                <c:pt idx="54">
                  <c:v>1.9377663639866511</c:v>
                </c:pt>
                <c:pt idx="55">
                  <c:v>1.9110228900548729</c:v>
                </c:pt>
                <c:pt idx="56">
                  <c:v>1.8839169572454657</c:v>
                </c:pt>
                <c:pt idx="57">
                  <c:v>1.860387274086293</c:v>
                </c:pt>
                <c:pt idx="58">
                  <c:v>1.836577469073656</c:v>
                </c:pt>
                <c:pt idx="59">
                  <c:v>1.8043836149893067</c:v>
                </c:pt>
                <c:pt idx="60">
                  <c:v>1.7798935130691063</c:v>
                </c:pt>
                <c:pt idx="61">
                  <c:v>1.7550998071154489</c:v>
                </c:pt>
                <c:pt idx="62">
                  <c:v>1.7342009753667667</c:v>
                </c:pt>
                <c:pt idx="63">
                  <c:v>1.7045708037964855</c:v>
                </c:pt>
                <c:pt idx="64">
                  <c:v>1.6788193750763947</c:v>
                </c:pt>
                <c:pt idx="65">
                  <c:v>1.6571036351322967</c:v>
                </c:pt>
                <c:pt idx="66">
                  <c:v>1.6307296265683888</c:v>
                </c:pt>
                <c:pt idx="67">
                  <c:v>1.6084824561310642</c:v>
                </c:pt>
                <c:pt idx="68">
                  <c:v>1.5814550177976185</c:v>
                </c:pt>
                <c:pt idx="69">
                  <c:v>1.5540573290812947</c:v>
                </c:pt>
                <c:pt idx="70">
                  <c:v>1.5309356842791428</c:v>
                </c:pt>
                <c:pt idx="71">
                  <c:v>1.5075436047527604</c:v>
                </c:pt>
                <c:pt idx="72">
                  <c:v>1.4791071067482024</c:v>
                </c:pt>
                <c:pt idx="73">
                  <c:v>1.4647357874264533</c:v>
                </c:pt>
                <c:pt idx="74">
                  <c:v>1.4454119656029794</c:v>
                </c:pt>
                <c:pt idx="75">
                  <c:v>1.4160715861073916</c:v>
                </c:pt>
                <c:pt idx="76">
                  <c:v>1.3962694441419685</c:v>
                </c:pt>
                <c:pt idx="77">
                  <c:v>1.3712378282783075</c:v>
                </c:pt>
                <c:pt idx="78">
                  <c:v>1.3509844906424491</c:v>
                </c:pt>
                <c:pt idx="79">
                  <c:v>1.3305239541408194</c:v>
                </c:pt>
                <c:pt idx="80">
                  <c:v>1.3150400058335883</c:v>
                </c:pt>
                <c:pt idx="81">
                  <c:v>1.2889640171573287</c:v>
                </c:pt>
                <c:pt idx="82">
                  <c:v>1.267855641799948</c:v>
                </c:pt>
                <c:pt idx="83">
                  <c:v>1.24115297545022</c:v>
                </c:pt>
                <c:pt idx="84">
                  <c:v>1.2195311432417886</c:v>
                </c:pt>
                <c:pt idx="85">
                  <c:v>1.2031599740689096</c:v>
                </c:pt>
                <c:pt idx="86">
                  <c:v>1.1866536905554688</c:v>
                </c:pt>
                <c:pt idx="87">
                  <c:v>1.1588368304632048</c:v>
                </c:pt>
                <c:pt idx="88">
                  <c:v>1.1419590931714756</c:v>
                </c:pt>
                <c:pt idx="89">
                  <c:v>1.1249377138356582</c:v>
                </c:pt>
                <c:pt idx="90">
                  <c:v>1.1020148267976451</c:v>
                </c:pt>
                <c:pt idx="91">
                  <c:v>1.0788261612358065</c:v>
                </c:pt>
                <c:pt idx="92">
                  <c:v>1.0612565021243408</c:v>
                </c:pt>
                <c:pt idx="93">
                  <c:v>1.0435311276086503</c:v>
                </c:pt>
                <c:pt idx="94">
                  <c:v>1.0256472528573275</c:v>
                </c:pt>
                <c:pt idx="95">
                  <c:v>1.0076020176580525</c:v>
                </c:pt>
                <c:pt idx="96">
                  <c:v>0.99548076843467037</c:v>
                </c:pt>
                <c:pt idx="97">
                  <c:v>0.97101563156340165</c:v>
                </c:pt>
                <c:pt idx="98">
                  <c:v>0.95246835799274332</c:v>
                </c:pt>
                <c:pt idx="99">
                  <c:v>0.94000725849147126</c:v>
                </c:pt>
                <c:pt idx="100">
                  <c:v>0.91484969407775107</c:v>
                </c:pt>
                <c:pt idx="101">
                  <c:v>0.89577164798423303</c:v>
                </c:pt>
                <c:pt idx="102">
                  <c:v>0.87650986186231061</c:v>
                </c:pt>
                <c:pt idx="103">
                  <c:v>0.87004782069941755</c:v>
                </c:pt>
                <c:pt idx="104">
                  <c:v>0.85706076207832083</c:v>
                </c:pt>
                <c:pt idx="105">
                  <c:v>0.85053547080868819</c:v>
                </c:pt>
                <c:pt idx="106">
                  <c:v>0.82421930165366597</c:v>
                </c:pt>
                <c:pt idx="107">
                  <c:v>0.81093021621632877</c:v>
                </c:pt>
                <c:pt idx="108">
                  <c:v>0.79755223991473556</c:v>
                </c:pt>
                <c:pt idx="109">
                  <c:v>0.77731597958356635</c:v>
                </c:pt>
                <c:pt idx="110">
                  <c:v>0.77052480158128978</c:v>
                </c:pt>
                <c:pt idx="111">
                  <c:v>0.74312711286496613</c:v>
                </c:pt>
                <c:pt idx="112">
                  <c:v>0.72928622717581848</c:v>
                </c:pt>
                <c:pt idx="113">
                  <c:v>0.72232969842316885</c:v>
                </c:pt>
                <c:pt idx="114">
                  <c:v>0.70834362744122781</c:v>
                </c:pt>
                <c:pt idx="115">
                  <c:v>0.68717940878015371</c:v>
                </c:pt>
                <c:pt idx="116">
                  <c:v>0.6586074942852006</c:v>
                </c:pt>
                <c:pt idx="117">
                  <c:v>0.65140027927860367</c:v>
                </c:pt>
                <c:pt idx="118">
                  <c:v>0.65140027927860367</c:v>
                </c:pt>
                <c:pt idx="119">
                  <c:v>0.64416699833822644</c:v>
                </c:pt>
                <c:pt idx="120">
                  <c:v>0.62962147968006721</c:v>
                </c:pt>
                <c:pt idx="121">
                  <c:v>0.62230885727384611</c:v>
                </c:pt>
                <c:pt idx="122">
                  <c:v>0.60760290866332844</c:v>
                </c:pt>
                <c:pt idx="123">
                  <c:v>0.59278802610760484</c:v>
                </c:pt>
                <c:pt idx="124">
                  <c:v>0.59278802610760484</c:v>
                </c:pt>
                <c:pt idx="125">
                  <c:v>0.57035788446732483</c:v>
                </c:pt>
                <c:pt idx="126">
                  <c:v>0.56282491887637109</c:v>
                </c:pt>
                <c:pt idx="127">
                  <c:v>0.53240608154931335</c:v>
                </c:pt>
                <c:pt idx="128">
                  <c:v>0.52472852893498223</c:v>
                </c:pt>
                <c:pt idx="129">
                  <c:v>0.55526347319655911</c:v>
                </c:pt>
                <c:pt idx="130">
                  <c:v>0.53240608154931335</c:v>
                </c:pt>
                <c:pt idx="131">
                  <c:v>0.50928443674716162</c:v>
                </c:pt>
                <c:pt idx="132">
                  <c:v>0.5015174366943661</c:v>
                </c:pt>
                <c:pt idx="133">
                  <c:v>0.49372015586305162</c:v>
                </c:pt>
                <c:pt idx="134">
                  <c:v>0.47803380094099979</c:v>
                </c:pt>
                <c:pt idx="135">
                  <c:v>0.47803380094099979</c:v>
                </c:pt>
                <c:pt idx="136">
                  <c:v>0.45427114516749423</c:v>
                </c:pt>
                <c:pt idx="137">
                  <c:v>0.46222344192677334</c:v>
                </c:pt>
                <c:pt idx="138">
                  <c:v>0.43827105983334202</c:v>
                </c:pt>
                <c:pt idx="139">
                  <c:v>0.43022275923389103</c:v>
                </c:pt>
                <c:pt idx="140">
                  <c:v>0.41402833876865219</c:v>
                </c:pt>
                <c:pt idx="141">
                  <c:v>0.41402833876865219</c:v>
                </c:pt>
                <c:pt idx="142">
                  <c:v>0.39770171749033034</c:v>
                </c:pt>
                <c:pt idx="143">
                  <c:v>0.39770171749033034</c:v>
                </c:pt>
                <c:pt idx="144">
                  <c:v>0.39770171749033034</c:v>
                </c:pt>
                <c:pt idx="145">
                  <c:v>0.38948815358502364</c:v>
                </c:pt>
                <c:pt idx="146">
                  <c:v>0.36464311358790924</c:v>
                </c:pt>
                <c:pt idx="147">
                  <c:v>0.36464311358790924</c:v>
                </c:pt>
                <c:pt idx="148">
                  <c:v>0.35629237076694803</c:v>
                </c:pt>
                <c:pt idx="149">
                  <c:v>0.33948554917418905</c:v>
                </c:pt>
                <c:pt idx="150">
                  <c:v>0.33948554917418905</c:v>
                </c:pt>
                <c:pt idx="151">
                  <c:v>0.33948554917418905</c:v>
                </c:pt>
                <c:pt idx="152">
                  <c:v>0.33102887695514666</c:v>
                </c:pt>
                <c:pt idx="153">
                  <c:v>0.32253629519224475</c:v>
                </c:pt>
                <c:pt idx="154">
                  <c:v>0.30544217403532786</c:v>
                </c:pt>
                <c:pt idx="155">
                  <c:v>0.29684001023654649</c:v>
                </c:pt>
                <c:pt idx="156">
                  <c:v>0.27952388475031725</c:v>
                </c:pt>
                <c:pt idx="157">
                  <c:v>0.27952388475031725</c:v>
                </c:pt>
                <c:pt idx="158">
                  <c:v>0.27080927401240601</c:v>
                </c:pt>
                <c:pt idx="159">
                  <c:v>0.26205652481280806</c:v>
                </c:pt>
                <c:pt idx="160">
                  <c:v>0.25326530186673196</c:v>
                </c:pt>
                <c:pt idx="161">
                  <c:v>0.24443526544849817</c:v>
                </c:pt>
                <c:pt idx="162">
                  <c:v>0.23556607131276691</c:v>
                </c:pt>
                <c:pt idx="163">
                  <c:v>0.23556607131276691</c:v>
                </c:pt>
                <c:pt idx="164">
                  <c:v>0.22665737061400648</c:v>
                </c:pt>
                <c:pt idx="165">
                  <c:v>0.20872003064848568</c:v>
                </c:pt>
                <c:pt idx="166">
                  <c:v>0.19062035960864987</c:v>
                </c:pt>
                <c:pt idx="167">
                  <c:v>0.19062035960864987</c:v>
                </c:pt>
                <c:pt idx="168">
                  <c:v>0.1996906699394323</c:v>
                </c:pt>
                <c:pt idx="169">
                  <c:v>0.19062035960864987</c:v>
                </c:pt>
                <c:pt idx="170">
                  <c:v>0.18150872653692829</c:v>
                </c:pt>
                <c:pt idx="171">
                  <c:v>0.18150872653692829</c:v>
                </c:pt>
                <c:pt idx="172">
                  <c:v>0.18150872653692829</c:v>
                </c:pt>
                <c:pt idx="173">
                  <c:v>0.1723553924821048</c:v>
                </c:pt>
                <c:pt idx="174">
                  <c:v>0.16315997398484572</c:v>
                </c:pt>
                <c:pt idx="175">
                  <c:v>0.15392208227225673</c:v>
                </c:pt>
                <c:pt idx="176">
                  <c:v>0.13531729694762964</c:v>
                </c:pt>
                <c:pt idx="177">
                  <c:v>0.12594959832277672</c:v>
                </c:pt>
                <c:pt idx="178">
                  <c:v>0.13531729694762964</c:v>
                </c:pt>
                <c:pt idx="179">
                  <c:v>0.11653781624795169</c:v>
                </c:pt>
                <c:pt idx="180">
                  <c:v>0.10708153385605958</c:v>
                </c:pt>
                <c:pt idx="181">
                  <c:v>0.10708153385605958</c:v>
                </c:pt>
                <c:pt idx="182">
                  <c:v>0.10708153385605958</c:v>
                </c:pt>
                <c:pt idx="183">
                  <c:v>9.7580328338864042E-2</c:v>
                </c:pt>
                <c:pt idx="184">
                  <c:v>7.84414263065627E-2</c:v>
                </c:pt>
                <c:pt idx="185">
                  <c:v>7.84414263065627E-2</c:v>
                </c:pt>
                <c:pt idx="186">
                  <c:v>6.8802853434664676E-2</c:v>
                </c:pt>
                <c:pt idx="187">
                  <c:v>5.9117604483088761E-2</c:v>
                </c:pt>
                <c:pt idx="188">
                  <c:v>4.9385225180742925E-2</c:v>
                </c:pt>
                <c:pt idx="189">
                  <c:v>5.9117604483088761E-2</c:v>
                </c:pt>
                <c:pt idx="190">
                  <c:v>4.9385225180742925E-2</c:v>
                </c:pt>
                <c:pt idx="191">
                  <c:v>3.9605254592359418E-2</c:v>
                </c:pt>
                <c:pt idx="192">
                  <c:v>9.9750830220778786E-3</c:v>
                </c:pt>
                <c:pt idx="193">
                  <c:v>9.9750830220778786E-3</c:v>
                </c:pt>
                <c:pt idx="194">
                  <c:v>0</c:v>
                </c:pt>
                <c:pt idx="195">
                  <c:v>-1.0025083647088521E-2</c:v>
                </c:pt>
                <c:pt idx="196">
                  <c:v>-1.0025083647088521E-2</c:v>
                </c:pt>
                <c:pt idx="197">
                  <c:v>0</c:v>
                </c:pt>
                <c:pt idx="198">
                  <c:v>9.9750830220778786E-3</c:v>
                </c:pt>
                <c:pt idx="199">
                  <c:v>0</c:v>
                </c:pt>
                <c:pt idx="200">
                  <c:v>-1.0025083647088521E-2</c:v>
                </c:pt>
                <c:pt idx="201">
                  <c:v>-4.040541463503898E-2</c:v>
                </c:pt>
                <c:pt idx="202">
                  <c:v>-3.0227275620096337E-2</c:v>
                </c:pt>
                <c:pt idx="203">
                  <c:v>-3.0227275620096337E-2</c:v>
                </c:pt>
                <c:pt idx="204">
                  <c:v>-4.040541463503898E-2</c:v>
                </c:pt>
                <c:pt idx="205">
                  <c:v>-5.0635615968579809E-2</c:v>
                </c:pt>
                <c:pt idx="206">
                  <c:v>-5.0635615968579809E-2</c:v>
                </c:pt>
                <c:pt idx="207">
                  <c:v>-6.0918414969417134E-2</c:v>
                </c:pt>
                <c:pt idx="208">
                  <c:v>-6.0918414969417134E-2</c:v>
                </c:pt>
                <c:pt idx="209">
                  <c:v>-8.164398904051029E-2</c:v>
                </c:pt>
                <c:pt idx="210">
                  <c:v>-7.1254355286302279E-2</c:v>
                </c:pt>
                <c:pt idx="211">
                  <c:v>-8.164398904051029E-2</c:v>
                </c:pt>
                <c:pt idx="212">
                  <c:v>-8.164398904051029E-2</c:v>
                </c:pt>
                <c:pt idx="213">
                  <c:v>-9.2087877002813637E-2</c:v>
                </c:pt>
                <c:pt idx="214">
                  <c:v>-0.1025865887751011</c:v>
                </c:pt>
                <c:pt idx="215">
                  <c:v>-0.1025865887751011</c:v>
                </c:pt>
                <c:pt idx="216">
                  <c:v>-0.11314070297678865</c:v>
                </c:pt>
                <c:pt idx="217">
                  <c:v>-0.1025865887751011</c:v>
                </c:pt>
                <c:pt idx="218">
                  <c:v>-0.1025865887751011</c:v>
                </c:pt>
                <c:pt idx="219">
                  <c:v>-0.1025865887751011</c:v>
                </c:pt>
                <c:pt idx="220">
                  <c:v>-0.12375080743617502</c:v>
                </c:pt>
                <c:pt idx="221">
                  <c:v>-0.13441749938689995</c:v>
                </c:pt>
                <c:pt idx="222">
                  <c:v>-0.13441749938689995</c:v>
                </c:pt>
                <c:pt idx="223">
                  <c:v>-0.13441749938689995</c:v>
                </c:pt>
                <c:pt idx="224">
                  <c:v>-0.13441749938689995</c:v>
                </c:pt>
                <c:pt idx="225">
                  <c:v>-0.15592308293942361</c:v>
                </c:pt>
                <c:pt idx="226">
                  <c:v>-0.14514138566967072</c:v>
                </c:pt>
                <c:pt idx="227">
                  <c:v>-0.15592308293942361</c:v>
                </c:pt>
                <c:pt idx="228">
                  <c:v>-0.15592308293942361</c:v>
                </c:pt>
                <c:pt idx="229">
                  <c:v>-0.16676321787810205</c:v>
                </c:pt>
                <c:pt idx="230">
                  <c:v>-0.17766242741323135</c:v>
                </c:pt>
                <c:pt idx="231">
                  <c:v>-0.16676321787810205</c:v>
                </c:pt>
                <c:pt idx="232">
                  <c:v>-0.14514138566967072</c:v>
                </c:pt>
                <c:pt idx="233">
                  <c:v>-0.15592308293942361</c:v>
                </c:pt>
                <c:pt idx="234">
                  <c:v>-0.15592308293942361</c:v>
                </c:pt>
                <c:pt idx="235">
                  <c:v>-0.16676321787810205</c:v>
                </c:pt>
                <c:pt idx="236">
                  <c:v>-0.16676321787810205</c:v>
                </c:pt>
                <c:pt idx="237">
                  <c:v>-0.15592308293942361</c:v>
                </c:pt>
                <c:pt idx="238">
                  <c:v>-0.16676321787810205</c:v>
                </c:pt>
                <c:pt idx="239">
                  <c:v>-0.18862135894248258</c:v>
                </c:pt>
                <c:pt idx="240">
                  <c:v>-0.17766242741323135</c:v>
                </c:pt>
                <c:pt idx="241">
                  <c:v>-0.17766242741323135</c:v>
                </c:pt>
                <c:pt idx="242">
                  <c:v>-0.18862135894248258</c:v>
                </c:pt>
                <c:pt idx="243">
                  <c:v>-0.19964067056442186</c:v>
                </c:pt>
                <c:pt idx="244">
                  <c:v>-0.19964067056442186</c:v>
                </c:pt>
                <c:pt idx="245">
                  <c:v>-0.18862135894248258</c:v>
                </c:pt>
                <c:pt idx="246">
                  <c:v>-0.18862135894248258</c:v>
                </c:pt>
                <c:pt idx="247">
                  <c:v>-0.19964067056442186</c:v>
                </c:pt>
                <c:pt idx="248">
                  <c:v>-0.23306763251190302</c:v>
                </c:pt>
                <c:pt idx="249">
                  <c:v>-0.22186312141456338</c:v>
                </c:pt>
                <c:pt idx="250">
                  <c:v>-0.23306763251190302</c:v>
                </c:pt>
                <c:pt idx="251">
                  <c:v>-0.23306763251190302</c:v>
                </c:pt>
                <c:pt idx="252">
                  <c:v>-0.23306763251190302</c:v>
                </c:pt>
                <c:pt idx="253">
                  <c:v>-0.22186312141456338</c:v>
                </c:pt>
                <c:pt idx="254">
                  <c:v>-0.23306763251190302</c:v>
                </c:pt>
                <c:pt idx="255">
                  <c:v>-0.24433526794841501</c:v>
                </c:pt>
                <c:pt idx="256">
                  <c:v>-0.24433526794841501</c:v>
                </c:pt>
                <c:pt idx="257">
                  <c:v>-0.23306763251190302</c:v>
                </c:pt>
                <c:pt idx="258">
                  <c:v>-0.24433526794841501</c:v>
                </c:pt>
                <c:pt idx="259">
                  <c:v>-0.25566674301976983</c:v>
                </c:pt>
                <c:pt idx="260">
                  <c:v>-0.25566674301976983</c:v>
                </c:pt>
                <c:pt idx="261">
                  <c:v>-0.25566674301976983</c:v>
                </c:pt>
                <c:pt idx="262">
                  <c:v>-0.26706278524904525</c:v>
                </c:pt>
                <c:pt idx="263">
                  <c:v>-0.26706278524904525</c:v>
                </c:pt>
                <c:pt idx="264">
                  <c:v>-0.25566674301976983</c:v>
                </c:pt>
                <c:pt idx="265">
                  <c:v>-0.26706278524904525</c:v>
                </c:pt>
                <c:pt idx="266">
                  <c:v>-0.27852413466701526</c:v>
                </c:pt>
                <c:pt idx="267">
                  <c:v>-0.26706278524904525</c:v>
                </c:pt>
                <c:pt idx="268">
                  <c:v>-0.26706278524904525</c:v>
                </c:pt>
                <c:pt idx="269">
                  <c:v>-0.27852413466701526</c:v>
                </c:pt>
                <c:pt idx="270">
                  <c:v>-0.30164577946916737</c:v>
                </c:pt>
                <c:pt idx="271">
                  <c:v>-0.27852413466701526</c:v>
                </c:pt>
                <c:pt idx="272">
                  <c:v>-0.29005154410051542</c:v>
                </c:pt>
                <c:pt idx="273">
                  <c:v>-0.29005154410051542</c:v>
                </c:pt>
                <c:pt idx="274">
                  <c:v>-0.29005154410051542</c:v>
                </c:pt>
                <c:pt idx="275">
                  <c:v>-0.30164577946916737</c:v>
                </c:pt>
                <c:pt idx="276">
                  <c:v>-0.30164577946916737</c:v>
                </c:pt>
                <c:pt idx="277">
                  <c:v>-0.30164577946916737</c:v>
                </c:pt>
                <c:pt idx="278">
                  <c:v>-0.30164577946916737</c:v>
                </c:pt>
                <c:pt idx="279">
                  <c:v>-0.30164577946916737</c:v>
                </c:pt>
                <c:pt idx="280">
                  <c:v>-0.31330762009075375</c:v>
                </c:pt>
                <c:pt idx="281">
                  <c:v>-0.31330762009075375</c:v>
                </c:pt>
                <c:pt idx="282">
                  <c:v>-0.31330762009075375</c:v>
                </c:pt>
                <c:pt idx="283">
                  <c:v>-0.31330762009075375</c:v>
                </c:pt>
                <c:pt idx="284">
                  <c:v>-0.32503785899554993</c:v>
                </c:pt>
                <c:pt idx="285">
                  <c:v>-0.31330762009075375</c:v>
                </c:pt>
                <c:pt idx="286">
                  <c:v>-0.33683730324992656</c:v>
                </c:pt>
                <c:pt idx="287">
                  <c:v>-0.31330762009075375</c:v>
                </c:pt>
                <c:pt idx="288">
                  <c:v>-0.33683730324992656</c:v>
                </c:pt>
                <c:pt idx="289">
                  <c:v>-0.33683730324992656</c:v>
                </c:pt>
                <c:pt idx="290">
                  <c:v>-0.32503785899554993</c:v>
                </c:pt>
                <c:pt idx="291">
                  <c:v>-0.32503785899554993</c:v>
                </c:pt>
                <c:pt idx="292">
                  <c:v>-0.36064710826256319</c:v>
                </c:pt>
                <c:pt idx="293">
                  <c:v>-0.34870677428955565</c:v>
                </c:pt>
                <c:pt idx="294">
                  <c:v>-0.34870677428955565</c:v>
                </c:pt>
                <c:pt idx="295">
                  <c:v>-0.34870677428955565</c:v>
                </c:pt>
                <c:pt idx="296">
                  <c:v>-0.36064710826256319</c:v>
                </c:pt>
                <c:pt idx="297">
                  <c:v>-0.36064710826256319</c:v>
                </c:pt>
                <c:pt idx="298">
                  <c:v>-0.36064710826256319</c:v>
                </c:pt>
                <c:pt idx="299">
                  <c:v>-0.37265915638298697</c:v>
                </c:pt>
                <c:pt idx="300">
                  <c:v>-0.37265915638298697</c:v>
                </c:pt>
                <c:pt idx="301">
                  <c:v>-0.37265915638298697</c:v>
                </c:pt>
                <c:pt idx="302">
                  <c:v>-0.37265915638298697</c:v>
                </c:pt>
                <c:pt idx="303">
                  <c:v>-0.38474378529491227</c:v>
                </c:pt>
                <c:pt idx="304">
                  <c:v>-0.37265915638298697</c:v>
                </c:pt>
                <c:pt idx="305">
                  <c:v>-0.37265915638298697</c:v>
                </c:pt>
                <c:pt idx="306">
                  <c:v>-0.38474378529491227</c:v>
                </c:pt>
                <c:pt idx="307">
                  <c:v>-0.38474378529491227</c:v>
                </c:pt>
                <c:pt idx="308">
                  <c:v>-0.38474378529491227</c:v>
                </c:pt>
                <c:pt idx="309">
                  <c:v>-0.38474378529491227</c:v>
                </c:pt>
                <c:pt idx="310">
                  <c:v>-0.39690187744767669</c:v>
                </c:pt>
                <c:pt idx="311">
                  <c:v>-0.38474378529491227</c:v>
                </c:pt>
                <c:pt idx="312">
                  <c:v>-0.39690187744767669</c:v>
                </c:pt>
                <c:pt idx="313">
                  <c:v>-0.39690187744767669</c:v>
                </c:pt>
                <c:pt idx="314">
                  <c:v>-0.40913433148254874</c:v>
                </c:pt>
                <c:pt idx="315">
                  <c:v>-0.40913433148254874</c:v>
                </c:pt>
                <c:pt idx="316">
                  <c:v>-0.38474378529491227</c:v>
                </c:pt>
                <c:pt idx="317">
                  <c:v>-0.39690187744767669</c:v>
                </c:pt>
                <c:pt idx="318">
                  <c:v>-0.39690187744767669</c:v>
                </c:pt>
                <c:pt idx="319">
                  <c:v>-0.40913433148254874</c:v>
                </c:pt>
                <c:pt idx="320">
                  <c:v>-0.40913433148254874</c:v>
                </c:pt>
                <c:pt idx="321">
                  <c:v>-0.39690187744767669</c:v>
                </c:pt>
                <c:pt idx="322">
                  <c:v>-0.40913433148254874</c:v>
                </c:pt>
                <c:pt idx="323">
                  <c:v>-0.40913433148254874</c:v>
                </c:pt>
                <c:pt idx="324">
                  <c:v>-0.42144206263130501</c:v>
                </c:pt>
                <c:pt idx="325">
                  <c:v>-0.39690187744767669</c:v>
                </c:pt>
                <c:pt idx="326">
                  <c:v>-0.40913433148254874</c:v>
                </c:pt>
                <c:pt idx="327">
                  <c:v>-0.40913433148254874</c:v>
                </c:pt>
                <c:pt idx="328">
                  <c:v>-0.42144206263130501</c:v>
                </c:pt>
                <c:pt idx="329">
                  <c:v>-0.42144206263130501</c:v>
                </c:pt>
                <c:pt idx="330">
                  <c:v>-0.43382600312714725</c:v>
                </c:pt>
                <c:pt idx="331">
                  <c:v>-0.43382600312714725</c:v>
                </c:pt>
                <c:pt idx="332">
                  <c:v>-0.42144206263130501</c:v>
                </c:pt>
                <c:pt idx="333">
                  <c:v>-0.42144206263130501</c:v>
                </c:pt>
                <c:pt idx="334">
                  <c:v>-0.43382600312714725</c:v>
                </c:pt>
                <c:pt idx="335">
                  <c:v>-0.43382600312714725</c:v>
                </c:pt>
                <c:pt idx="336">
                  <c:v>-0.43382600312714725</c:v>
                </c:pt>
                <c:pt idx="337">
                  <c:v>-0.44628710262841931</c:v>
                </c:pt>
                <c:pt idx="338">
                  <c:v>-0.44628710262841931</c:v>
                </c:pt>
                <c:pt idx="339">
                  <c:v>-0.43382600312714725</c:v>
                </c:pt>
                <c:pt idx="340">
                  <c:v>-0.43382600312714725</c:v>
                </c:pt>
                <c:pt idx="341">
                  <c:v>-0.44628710262841931</c:v>
                </c:pt>
                <c:pt idx="342">
                  <c:v>-0.43382600312714725</c:v>
                </c:pt>
                <c:pt idx="343">
                  <c:v>-0.43382600312714725</c:v>
                </c:pt>
                <c:pt idx="344">
                  <c:v>-0.44628710262841931</c:v>
                </c:pt>
                <c:pt idx="345">
                  <c:v>-0.45882632865561024</c:v>
                </c:pt>
                <c:pt idx="346">
                  <c:v>-0.44628710262841931</c:v>
                </c:pt>
                <c:pt idx="347">
                  <c:v>-0.45882632865561024</c:v>
                </c:pt>
                <c:pt idx="348">
                  <c:v>-0.44628710262841931</c:v>
                </c:pt>
                <c:pt idx="349">
                  <c:v>-0.45882632865561024</c:v>
                </c:pt>
                <c:pt idx="350">
                  <c:v>-0.45882632865561024</c:v>
                </c:pt>
                <c:pt idx="351">
                  <c:v>-0.47144466704213961</c:v>
                </c:pt>
                <c:pt idx="352">
                  <c:v>-0.47144466704213961</c:v>
                </c:pt>
                <c:pt idx="353">
                  <c:v>-0.47144466704213961</c:v>
                </c:pt>
                <c:pt idx="354">
                  <c:v>-0.47144466704213961</c:v>
                </c:pt>
                <c:pt idx="355">
                  <c:v>-0.47144466704213961</c:v>
                </c:pt>
                <c:pt idx="356">
                  <c:v>-0.47144466704213961</c:v>
                </c:pt>
                <c:pt idx="357">
                  <c:v>-0.47144466704213961</c:v>
                </c:pt>
                <c:pt idx="358">
                  <c:v>-0.49692271859699916</c:v>
                </c:pt>
                <c:pt idx="359">
                  <c:v>-0.47144466704213961</c:v>
                </c:pt>
                <c:pt idx="360">
                  <c:v>-0.48414312239945723</c:v>
                </c:pt>
                <c:pt idx="361">
                  <c:v>-0.48414312239945723</c:v>
                </c:pt>
                <c:pt idx="362">
                  <c:v>-0.48414312239945723</c:v>
                </c:pt>
                <c:pt idx="363">
                  <c:v>-0.49692271859699916</c:v>
                </c:pt>
                <c:pt idx="364">
                  <c:v>-0.48414312239945723</c:v>
                </c:pt>
                <c:pt idx="365">
                  <c:v>-0.47144466704213961</c:v>
                </c:pt>
                <c:pt idx="366">
                  <c:v>-0.48414312239945723</c:v>
                </c:pt>
                <c:pt idx="367">
                  <c:v>-0.48414312239945723</c:v>
                </c:pt>
                <c:pt idx="368">
                  <c:v>-0.48414312239945723</c:v>
                </c:pt>
                <c:pt idx="369">
                  <c:v>-0.48414312239945723</c:v>
                </c:pt>
                <c:pt idx="370">
                  <c:v>-0.48414312239945723</c:v>
                </c:pt>
                <c:pt idx="371">
                  <c:v>-0.49692271859699916</c:v>
                </c:pt>
                <c:pt idx="372">
                  <c:v>-0.49692271859699916</c:v>
                </c:pt>
                <c:pt idx="373">
                  <c:v>-0.49692271859699916</c:v>
                </c:pt>
                <c:pt idx="374">
                  <c:v>-0.49692271859699916</c:v>
                </c:pt>
                <c:pt idx="375">
                  <c:v>-0.50978449925757996</c:v>
                </c:pt>
                <c:pt idx="376">
                  <c:v>-0.50978449925757996</c:v>
                </c:pt>
                <c:pt idx="377">
                  <c:v>-0.53575889031120238</c:v>
                </c:pt>
                <c:pt idx="378">
                  <c:v>-0.50978449925757996</c:v>
                </c:pt>
                <c:pt idx="379">
                  <c:v>-0.50978449925757996</c:v>
                </c:pt>
                <c:pt idx="380">
                  <c:v>-0.52272952826881502</c:v>
                </c:pt>
                <c:pt idx="381">
                  <c:v>-0.52272952826881502</c:v>
                </c:pt>
                <c:pt idx="382">
                  <c:v>-0.50978449925757996</c:v>
                </c:pt>
                <c:pt idx="383">
                  <c:v>-0.49692271859699916</c:v>
                </c:pt>
                <c:pt idx="384">
                  <c:v>-0.53575889031120238</c:v>
                </c:pt>
                <c:pt idx="385">
                  <c:v>-0.52272952826881502</c:v>
                </c:pt>
                <c:pt idx="386">
                  <c:v>-0.53575889031120238</c:v>
                </c:pt>
                <c:pt idx="387">
                  <c:v>-0.50978449925757996</c:v>
                </c:pt>
                <c:pt idx="388">
                  <c:v>-0.53575889031120238</c:v>
                </c:pt>
                <c:pt idx="389">
                  <c:v>-0.52272952826881502</c:v>
                </c:pt>
                <c:pt idx="390">
                  <c:v>-0.52272952826881502</c:v>
                </c:pt>
                <c:pt idx="391">
                  <c:v>-0.53575889031120238</c:v>
                </c:pt>
                <c:pt idx="392">
                  <c:v>-0.53575889031120238</c:v>
                </c:pt>
                <c:pt idx="393">
                  <c:v>-0.5488736914035206</c:v>
                </c:pt>
                <c:pt idx="394">
                  <c:v>-0.5488736914035206</c:v>
                </c:pt>
                <c:pt idx="395">
                  <c:v>-0.56207505946622471</c:v>
                </c:pt>
                <c:pt idx="396">
                  <c:v>-0.56207505946622471</c:v>
                </c:pt>
                <c:pt idx="397">
                  <c:v>-0.5488736914035206</c:v>
                </c:pt>
                <c:pt idx="398">
                  <c:v>-0.5488736914035206</c:v>
                </c:pt>
                <c:pt idx="399">
                  <c:v>-0.5488736914035206</c:v>
                </c:pt>
                <c:pt idx="400">
                  <c:v>-0.56207505946622471</c:v>
                </c:pt>
                <c:pt idx="401">
                  <c:v>-0.56207505946622471</c:v>
                </c:pt>
                <c:pt idx="402">
                  <c:v>-0.5753641449035618</c:v>
                </c:pt>
                <c:pt idx="403">
                  <c:v>-0.5488736914035206</c:v>
                </c:pt>
                <c:pt idx="404">
                  <c:v>-0.56207505946622471</c:v>
                </c:pt>
                <c:pt idx="405">
                  <c:v>-0.56207505946622471</c:v>
                </c:pt>
                <c:pt idx="406">
                  <c:v>-0.56207505946622471</c:v>
                </c:pt>
                <c:pt idx="407">
                  <c:v>-0.56207505946622471</c:v>
                </c:pt>
                <c:pt idx="408">
                  <c:v>-0.56207505946622471</c:v>
                </c:pt>
                <c:pt idx="409">
                  <c:v>-0.5753641449035618</c:v>
                </c:pt>
                <c:pt idx="410">
                  <c:v>-0.60221018556784323</c:v>
                </c:pt>
                <c:pt idx="411">
                  <c:v>-0.56207505946622471</c:v>
                </c:pt>
                <c:pt idx="412">
                  <c:v>-0.5753641449035618</c:v>
                </c:pt>
                <c:pt idx="413">
                  <c:v>-0.58874212120515512</c:v>
                </c:pt>
                <c:pt idx="414">
                  <c:v>-0.58874212120515512</c:v>
                </c:pt>
                <c:pt idx="415">
                  <c:v>-0.58874212120515512</c:v>
                </c:pt>
                <c:pt idx="416">
                  <c:v>-0.58874212120515512</c:v>
                </c:pt>
                <c:pt idx="417">
                  <c:v>-0.58874212120515512</c:v>
                </c:pt>
                <c:pt idx="418">
                  <c:v>-0.58874212120515512</c:v>
                </c:pt>
                <c:pt idx="419">
                  <c:v>-0.58874212120515512</c:v>
                </c:pt>
                <c:pt idx="420">
                  <c:v>-0.58874212120515512</c:v>
                </c:pt>
                <c:pt idx="421">
                  <c:v>-0.58874212120515512</c:v>
                </c:pt>
                <c:pt idx="422">
                  <c:v>-0.58874212120515512</c:v>
                </c:pt>
                <c:pt idx="423">
                  <c:v>-0.58874212120515512</c:v>
                </c:pt>
                <c:pt idx="424">
                  <c:v>-0.60221018556784323</c:v>
                </c:pt>
                <c:pt idx="425">
                  <c:v>-0.60221018556784323</c:v>
                </c:pt>
                <c:pt idx="426">
                  <c:v>-0.6157695595386008</c:v>
                </c:pt>
                <c:pt idx="427">
                  <c:v>-0.6157695595386008</c:v>
                </c:pt>
                <c:pt idx="428">
                  <c:v>-0.60221018556784323</c:v>
                </c:pt>
                <c:pt idx="429">
                  <c:v>-0.60221018556784323</c:v>
                </c:pt>
                <c:pt idx="430">
                  <c:v>-0.6157695595386008</c:v>
                </c:pt>
                <c:pt idx="431">
                  <c:v>-0.62942148967940059</c:v>
                </c:pt>
                <c:pt idx="432">
                  <c:v>-0.62942148967940059</c:v>
                </c:pt>
                <c:pt idx="433">
                  <c:v>-0.62942148967940059</c:v>
                </c:pt>
                <c:pt idx="434">
                  <c:v>-0.6157695595386008</c:v>
                </c:pt>
                <c:pt idx="435">
                  <c:v>-0.6157695595386008</c:v>
                </c:pt>
                <c:pt idx="436">
                  <c:v>-0.58874212120515512</c:v>
                </c:pt>
                <c:pt idx="437">
                  <c:v>-0.6157695595386008</c:v>
                </c:pt>
                <c:pt idx="438">
                  <c:v>-0.60221018556784323</c:v>
                </c:pt>
                <c:pt idx="439">
                  <c:v>-0.6157695595386008</c:v>
                </c:pt>
                <c:pt idx="440">
                  <c:v>-0.6157695595386008</c:v>
                </c:pt>
                <c:pt idx="441">
                  <c:v>-0.58874212120515512</c:v>
                </c:pt>
                <c:pt idx="442">
                  <c:v>-0.60221018556784323</c:v>
                </c:pt>
                <c:pt idx="443">
                  <c:v>-0.60221018556784323</c:v>
                </c:pt>
                <c:pt idx="444">
                  <c:v>-0.58874212120515512</c:v>
                </c:pt>
                <c:pt idx="445">
                  <c:v>-0.60221018556784323</c:v>
                </c:pt>
                <c:pt idx="446">
                  <c:v>-0.6157695595386008</c:v>
                </c:pt>
                <c:pt idx="447">
                  <c:v>-0.62942148967940059</c:v>
                </c:pt>
                <c:pt idx="448">
                  <c:v>-0.6157695595386008</c:v>
                </c:pt>
                <c:pt idx="449">
                  <c:v>-0.62942148967940059</c:v>
                </c:pt>
                <c:pt idx="450">
                  <c:v>-0.60221018556784323</c:v>
                </c:pt>
                <c:pt idx="451">
                  <c:v>-0.6157695595386008</c:v>
                </c:pt>
                <c:pt idx="452">
                  <c:v>-0.6157695595386008</c:v>
                </c:pt>
                <c:pt idx="453">
                  <c:v>-0.60221018556784323</c:v>
                </c:pt>
                <c:pt idx="454">
                  <c:v>-0.6157695595386008</c:v>
                </c:pt>
                <c:pt idx="455">
                  <c:v>-0.62942148967940059</c:v>
                </c:pt>
                <c:pt idx="456">
                  <c:v>-0.60221018556784323</c:v>
                </c:pt>
                <c:pt idx="457">
                  <c:v>-0.64316724825492455</c:v>
                </c:pt>
                <c:pt idx="458">
                  <c:v>-0.6157695595386008</c:v>
                </c:pt>
                <c:pt idx="459">
                  <c:v>-0.64316724825492455</c:v>
                </c:pt>
                <c:pt idx="460">
                  <c:v>-0.67094547257625892</c:v>
                </c:pt>
                <c:pt idx="461">
                  <c:v>-0.60221018556784323</c:v>
                </c:pt>
                <c:pt idx="462">
                  <c:v>-0.64316724825492455</c:v>
                </c:pt>
                <c:pt idx="463">
                  <c:v>-0.64316724825492455</c:v>
                </c:pt>
                <c:pt idx="464">
                  <c:v>-0.64316724825492455</c:v>
                </c:pt>
                <c:pt idx="465">
                  <c:v>-0.64316724825492455</c:v>
                </c:pt>
                <c:pt idx="466">
                  <c:v>-0.62942148967940059</c:v>
                </c:pt>
                <c:pt idx="467">
                  <c:v>-0.67094547257625892</c:v>
                </c:pt>
                <c:pt idx="468">
                  <c:v>-0.6570081339440722</c:v>
                </c:pt>
                <c:pt idx="469">
                  <c:v>-0.64316724825492455</c:v>
                </c:pt>
                <c:pt idx="470">
                  <c:v>-0.6570081339440722</c:v>
                </c:pt>
                <c:pt idx="471">
                  <c:v>-0.6570081339440722</c:v>
                </c:pt>
                <c:pt idx="472">
                  <c:v>-0.67094547257625892</c:v>
                </c:pt>
                <c:pt idx="473">
                  <c:v>-0.6570081339440722</c:v>
                </c:pt>
                <c:pt idx="474">
                  <c:v>-0.62942148967940059</c:v>
                </c:pt>
                <c:pt idx="475">
                  <c:v>-0.6570081339440722</c:v>
                </c:pt>
                <c:pt idx="476">
                  <c:v>-0.64316724825492455</c:v>
                </c:pt>
                <c:pt idx="477">
                  <c:v>-0.64316724825492455</c:v>
                </c:pt>
                <c:pt idx="478">
                  <c:v>-0.6570081339440722</c:v>
                </c:pt>
                <c:pt idx="479">
                  <c:v>-0.6570081339440722</c:v>
                </c:pt>
                <c:pt idx="480">
                  <c:v>-0.6570081339440722</c:v>
                </c:pt>
                <c:pt idx="481">
                  <c:v>-0.6570081339440722</c:v>
                </c:pt>
                <c:pt idx="482">
                  <c:v>-0.6570081339440722</c:v>
                </c:pt>
                <c:pt idx="483">
                  <c:v>-0.67094547257625892</c:v>
                </c:pt>
                <c:pt idx="484">
                  <c:v>-0.67094547257625892</c:v>
                </c:pt>
                <c:pt idx="485">
                  <c:v>-0.6570081339440722</c:v>
                </c:pt>
                <c:pt idx="486">
                  <c:v>-0.6570081339440722</c:v>
                </c:pt>
                <c:pt idx="487">
                  <c:v>-0.67094547257625892</c:v>
                </c:pt>
                <c:pt idx="488">
                  <c:v>-0.6570081339440722</c:v>
                </c:pt>
                <c:pt idx="489">
                  <c:v>-0.6570081339440722</c:v>
                </c:pt>
                <c:pt idx="490">
                  <c:v>-0.67094547257625892</c:v>
                </c:pt>
                <c:pt idx="491">
                  <c:v>-0.67094547257625892</c:v>
                </c:pt>
                <c:pt idx="492">
                  <c:v>-0.68498061789355191</c:v>
                </c:pt>
                <c:pt idx="493">
                  <c:v>-0.68498061789355191</c:v>
                </c:pt>
                <c:pt idx="494">
                  <c:v>-0.6570081339440722</c:v>
                </c:pt>
                <c:pt idx="495">
                  <c:v>-0.68498061789355191</c:v>
                </c:pt>
                <c:pt idx="496">
                  <c:v>-0.6570081339440722</c:v>
                </c:pt>
                <c:pt idx="497">
                  <c:v>-0.67094547257625892</c:v>
                </c:pt>
                <c:pt idx="498">
                  <c:v>-0.67094547257625892</c:v>
                </c:pt>
                <c:pt idx="499">
                  <c:v>-0.69911495233973697</c:v>
                </c:pt>
                <c:pt idx="500">
                  <c:v>-0.67094547257625892</c:v>
                </c:pt>
                <c:pt idx="501">
                  <c:v>-0.67094547257625892</c:v>
                </c:pt>
                <c:pt idx="502">
                  <c:v>-0.6570081339440722</c:v>
                </c:pt>
                <c:pt idx="503">
                  <c:v>-0.67094547257625892</c:v>
                </c:pt>
                <c:pt idx="504">
                  <c:v>-0.69911495233973697</c:v>
                </c:pt>
                <c:pt idx="505">
                  <c:v>-0.69911495233973697</c:v>
                </c:pt>
                <c:pt idx="506">
                  <c:v>-0.71334988787746489</c:v>
                </c:pt>
                <c:pt idx="507">
                  <c:v>-0.69911495233973697</c:v>
                </c:pt>
                <c:pt idx="508">
                  <c:v>-0.71334988787746489</c:v>
                </c:pt>
                <c:pt idx="509">
                  <c:v>-0.68498061789355191</c:v>
                </c:pt>
                <c:pt idx="510">
                  <c:v>-0.67094547257625892</c:v>
                </c:pt>
                <c:pt idx="511">
                  <c:v>-0.68498061789355191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31584"/>
        <c:axId val="60141568"/>
      </c:scatterChart>
      <c:valAx>
        <c:axId val="60131584"/>
        <c:scaling>
          <c:orientation val="minMax"/>
          <c:max val="500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crossAx val="60141568"/>
        <c:crosses val="autoZero"/>
        <c:crossBetween val="midCat"/>
      </c:valAx>
      <c:valAx>
        <c:axId val="60141568"/>
        <c:scaling>
          <c:orientation val="minMax"/>
        </c:scaling>
        <c:delete val="0"/>
        <c:axPos val="l"/>
        <c:majorGridlines/>
        <c:minorGridlines/>
        <c:numFmt formatCode="0.00" sourceLinked="1"/>
        <c:majorTickMark val="out"/>
        <c:minorTickMark val="none"/>
        <c:tickLblPos val="nextTo"/>
        <c:crossAx val="60131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diamond"/>
            <c:size val="2"/>
          </c:marker>
          <c:xVal>
            <c:numRef>
              <c:f>Лист3!$J$10:$J$521</c:f>
              <c:numCache>
                <c:formatCode>0.00</c:formatCode>
                <c:ptCount val="512"/>
                <c:pt idx="0">
                  <c:v>2.6462026991267531</c:v>
                </c:pt>
                <c:pt idx="1">
                  <c:v>2.6462026991267531</c:v>
                </c:pt>
                <c:pt idx="2">
                  <c:v>2.6462026991267531</c:v>
                </c:pt>
                <c:pt idx="3">
                  <c:v>2.6497085320614735</c:v>
                </c:pt>
                <c:pt idx="4">
                  <c:v>2.6497085320614735</c:v>
                </c:pt>
                <c:pt idx="5">
                  <c:v>2.6497085320614735</c:v>
                </c:pt>
                <c:pt idx="6">
                  <c:v>2.6525198938992043</c:v>
                </c:pt>
                <c:pt idx="7">
                  <c:v>2.6525198938992043</c:v>
                </c:pt>
                <c:pt idx="8">
                  <c:v>2.6525198938992043</c:v>
                </c:pt>
                <c:pt idx="9">
                  <c:v>2.656748140276302</c:v>
                </c:pt>
                <c:pt idx="10">
                  <c:v>2.656748140276302</c:v>
                </c:pt>
                <c:pt idx="11">
                  <c:v>2.656748140276302</c:v>
                </c:pt>
                <c:pt idx="12">
                  <c:v>2.6609898882384244</c:v>
                </c:pt>
                <c:pt idx="13">
                  <c:v>2.6609898882384244</c:v>
                </c:pt>
                <c:pt idx="14">
                  <c:v>2.6609898882384244</c:v>
                </c:pt>
                <c:pt idx="15">
                  <c:v>2.6609898882384244</c:v>
                </c:pt>
                <c:pt idx="16">
                  <c:v>2.6652452025586353</c:v>
                </c:pt>
                <c:pt idx="17">
                  <c:v>2.6652452025586353</c:v>
                </c:pt>
                <c:pt idx="18">
                  <c:v>2.6652452025586353</c:v>
                </c:pt>
                <c:pt idx="19">
                  <c:v>2.6680896478121663</c:v>
                </c:pt>
                <c:pt idx="20">
                  <c:v>2.6680896478121663</c:v>
                </c:pt>
                <c:pt idx="21">
                  <c:v>2.6680896478121663</c:v>
                </c:pt>
                <c:pt idx="22">
                  <c:v>2.6716537536735236</c:v>
                </c:pt>
                <c:pt idx="23">
                  <c:v>2.6716537536735236</c:v>
                </c:pt>
                <c:pt idx="24">
                  <c:v>2.6716537536735236</c:v>
                </c:pt>
                <c:pt idx="25">
                  <c:v>2.675943270002676</c:v>
                </c:pt>
                <c:pt idx="26">
                  <c:v>2.675943270002676</c:v>
                </c:pt>
                <c:pt idx="27">
                  <c:v>2.675943270002676</c:v>
                </c:pt>
                <c:pt idx="28">
                  <c:v>2.6809651474530831</c:v>
                </c:pt>
                <c:pt idx="29">
                  <c:v>2.6809651474530831</c:v>
                </c:pt>
                <c:pt idx="30">
                  <c:v>2.6809651474530831</c:v>
                </c:pt>
                <c:pt idx="31">
                  <c:v>2.6809651474530831</c:v>
                </c:pt>
                <c:pt idx="32">
                  <c:v>2.6860059092130002</c:v>
                </c:pt>
                <c:pt idx="33">
                  <c:v>2.6860059092130002</c:v>
                </c:pt>
                <c:pt idx="34">
                  <c:v>2.6860059092130002</c:v>
                </c:pt>
                <c:pt idx="35">
                  <c:v>2.6903416733925209</c:v>
                </c:pt>
                <c:pt idx="36">
                  <c:v>2.6903416733925209</c:v>
                </c:pt>
                <c:pt idx="37">
                  <c:v>2.6903416733925209</c:v>
                </c:pt>
                <c:pt idx="38">
                  <c:v>2.6939655172413794</c:v>
                </c:pt>
                <c:pt idx="39">
                  <c:v>2.6939655172413794</c:v>
                </c:pt>
                <c:pt idx="40">
                  <c:v>2.6939655172413794</c:v>
                </c:pt>
                <c:pt idx="41">
                  <c:v>2.698327037236913</c:v>
                </c:pt>
                <c:pt idx="42">
                  <c:v>2.698327037236913</c:v>
                </c:pt>
                <c:pt idx="43">
                  <c:v>2.698327037236913</c:v>
                </c:pt>
                <c:pt idx="44">
                  <c:v>2.7019724398811129</c:v>
                </c:pt>
                <c:pt idx="45">
                  <c:v>2.7019724398811129</c:v>
                </c:pt>
                <c:pt idx="46">
                  <c:v>2.7019724398811129</c:v>
                </c:pt>
                <c:pt idx="47">
                  <c:v>2.7019724398811129</c:v>
                </c:pt>
                <c:pt idx="48">
                  <c:v>2.7063599458728009</c:v>
                </c:pt>
                <c:pt idx="49">
                  <c:v>2.7063599458728009</c:v>
                </c:pt>
                <c:pt idx="50">
                  <c:v>2.7063599458728009</c:v>
                </c:pt>
                <c:pt idx="51">
                  <c:v>2.7100271002710028</c:v>
                </c:pt>
                <c:pt idx="52">
                  <c:v>2.7100271002710028</c:v>
                </c:pt>
                <c:pt idx="53">
                  <c:v>2.7100271002710028</c:v>
                </c:pt>
                <c:pt idx="54">
                  <c:v>2.7137042062415198</c:v>
                </c:pt>
                <c:pt idx="55">
                  <c:v>2.7137042062415198</c:v>
                </c:pt>
                <c:pt idx="56">
                  <c:v>2.7137042062415198</c:v>
                </c:pt>
                <c:pt idx="57">
                  <c:v>2.7181299266104921</c:v>
                </c:pt>
                <c:pt idx="58">
                  <c:v>2.7181299266104921</c:v>
                </c:pt>
                <c:pt idx="59">
                  <c:v>2.7181299266104921</c:v>
                </c:pt>
                <c:pt idx="60">
                  <c:v>2.7247956403269753</c:v>
                </c:pt>
                <c:pt idx="61">
                  <c:v>2.7247956403269753</c:v>
                </c:pt>
                <c:pt idx="62">
                  <c:v>2.7247956403269753</c:v>
                </c:pt>
                <c:pt idx="63">
                  <c:v>2.7247956403269753</c:v>
                </c:pt>
                <c:pt idx="64">
                  <c:v>2.7314941272876263</c:v>
                </c:pt>
                <c:pt idx="65">
                  <c:v>2.7314941272876263</c:v>
                </c:pt>
                <c:pt idx="66">
                  <c:v>2.7314941272876263</c:v>
                </c:pt>
                <c:pt idx="67">
                  <c:v>2.7359781121751028</c:v>
                </c:pt>
                <c:pt idx="68">
                  <c:v>2.7359781121751028</c:v>
                </c:pt>
                <c:pt idx="69">
                  <c:v>2.7359781121751028</c:v>
                </c:pt>
                <c:pt idx="70">
                  <c:v>2.740476842970677</c:v>
                </c:pt>
                <c:pt idx="71">
                  <c:v>2.740476842970677</c:v>
                </c:pt>
                <c:pt idx="72">
                  <c:v>2.740476842970677</c:v>
                </c:pt>
                <c:pt idx="73">
                  <c:v>2.7442371020856204</c:v>
                </c:pt>
                <c:pt idx="74">
                  <c:v>2.7442371020856204</c:v>
                </c:pt>
                <c:pt idx="75">
                  <c:v>2.7442371020856204</c:v>
                </c:pt>
                <c:pt idx="76">
                  <c:v>2.7487630566245187</c:v>
                </c:pt>
                <c:pt idx="77">
                  <c:v>2.7487630566245187</c:v>
                </c:pt>
                <c:pt idx="78">
                  <c:v>2.7487630566245187</c:v>
                </c:pt>
                <c:pt idx="79">
                  <c:v>2.7487630566245187</c:v>
                </c:pt>
                <c:pt idx="80">
                  <c:v>2.7533039647577096</c:v>
                </c:pt>
                <c:pt idx="81">
                  <c:v>2.7533039647577096</c:v>
                </c:pt>
                <c:pt idx="82">
                  <c:v>2.7533039647577096</c:v>
                </c:pt>
                <c:pt idx="83">
                  <c:v>2.7563395810363835</c:v>
                </c:pt>
                <c:pt idx="84">
                  <c:v>2.7563395810363835</c:v>
                </c:pt>
                <c:pt idx="85">
                  <c:v>2.7563395810363835</c:v>
                </c:pt>
                <c:pt idx="86">
                  <c:v>2.7609055770292659</c:v>
                </c:pt>
                <c:pt idx="87">
                  <c:v>2.7609055770292659</c:v>
                </c:pt>
                <c:pt idx="88">
                  <c:v>2.7609055770292659</c:v>
                </c:pt>
                <c:pt idx="89">
                  <c:v>2.7647221454243849</c:v>
                </c:pt>
                <c:pt idx="90">
                  <c:v>2.7647221454243849</c:v>
                </c:pt>
                <c:pt idx="91">
                  <c:v>2.7647221454243849</c:v>
                </c:pt>
                <c:pt idx="92">
                  <c:v>2.7693159789531983</c:v>
                </c:pt>
                <c:pt idx="93">
                  <c:v>2.7693159789531983</c:v>
                </c:pt>
                <c:pt idx="94">
                  <c:v>2.7693159789531983</c:v>
                </c:pt>
                <c:pt idx="95">
                  <c:v>2.7693159789531983</c:v>
                </c:pt>
                <c:pt idx="96">
                  <c:v>2.7739251040221915</c:v>
                </c:pt>
                <c:pt idx="97">
                  <c:v>2.7739251040221915</c:v>
                </c:pt>
                <c:pt idx="98">
                  <c:v>2.7739251040221915</c:v>
                </c:pt>
                <c:pt idx="99">
                  <c:v>2.7785495971103087</c:v>
                </c:pt>
                <c:pt idx="100">
                  <c:v>2.7785495971103087</c:v>
                </c:pt>
                <c:pt idx="101">
                  <c:v>2.7785495971103087</c:v>
                </c:pt>
                <c:pt idx="102">
                  <c:v>2.785515320334262</c:v>
                </c:pt>
                <c:pt idx="103">
                  <c:v>2.785515320334262</c:v>
                </c:pt>
                <c:pt idx="104">
                  <c:v>2.785515320334262</c:v>
                </c:pt>
                <c:pt idx="105">
                  <c:v>2.7894002789400281</c:v>
                </c:pt>
                <c:pt idx="106">
                  <c:v>2.7894002789400281</c:v>
                </c:pt>
                <c:pt idx="107">
                  <c:v>2.7894002789400281</c:v>
                </c:pt>
                <c:pt idx="108">
                  <c:v>2.7940765576976809</c:v>
                </c:pt>
                <c:pt idx="109">
                  <c:v>2.7940765576976809</c:v>
                </c:pt>
                <c:pt idx="110">
                  <c:v>2.7940765576976809</c:v>
                </c:pt>
                <c:pt idx="111">
                  <c:v>2.7940765576976809</c:v>
                </c:pt>
                <c:pt idx="112">
                  <c:v>2.8011204481792715</c:v>
                </c:pt>
                <c:pt idx="113">
                  <c:v>2.8011204481792715</c:v>
                </c:pt>
                <c:pt idx="114">
                  <c:v>2.8011204481792715</c:v>
                </c:pt>
                <c:pt idx="115">
                  <c:v>2.8050490883590462</c:v>
                </c:pt>
                <c:pt idx="116">
                  <c:v>2.8050490883590462</c:v>
                </c:pt>
                <c:pt idx="117">
                  <c:v>2.8050490883590462</c:v>
                </c:pt>
                <c:pt idx="118">
                  <c:v>2.808988764044944</c:v>
                </c:pt>
                <c:pt idx="119">
                  <c:v>2.808988764044944</c:v>
                </c:pt>
                <c:pt idx="120">
                  <c:v>2.808988764044944</c:v>
                </c:pt>
                <c:pt idx="121">
                  <c:v>2.8145229383619474</c:v>
                </c:pt>
                <c:pt idx="122">
                  <c:v>2.8145229383619474</c:v>
                </c:pt>
                <c:pt idx="123">
                  <c:v>2.8145229383619474</c:v>
                </c:pt>
                <c:pt idx="124">
                  <c:v>2.8208744710860367</c:v>
                </c:pt>
                <c:pt idx="125">
                  <c:v>2.8208744710860367</c:v>
                </c:pt>
                <c:pt idx="126">
                  <c:v>2.8208744710860367</c:v>
                </c:pt>
                <c:pt idx="127">
                  <c:v>2.8208744710860367</c:v>
                </c:pt>
                <c:pt idx="128">
                  <c:v>2.8264556246466928</c:v>
                </c:pt>
                <c:pt idx="129">
                  <c:v>2.8264556246466928</c:v>
                </c:pt>
                <c:pt idx="130">
                  <c:v>2.8264556246466928</c:v>
                </c:pt>
                <c:pt idx="131">
                  <c:v>2.8296547821165818</c:v>
                </c:pt>
                <c:pt idx="132">
                  <c:v>2.8296547821165818</c:v>
                </c:pt>
                <c:pt idx="133">
                  <c:v>2.8296547821165818</c:v>
                </c:pt>
                <c:pt idx="134">
                  <c:v>2.8344671201814058</c:v>
                </c:pt>
                <c:pt idx="135">
                  <c:v>2.8344671201814058</c:v>
                </c:pt>
                <c:pt idx="136">
                  <c:v>2.8344671201814058</c:v>
                </c:pt>
                <c:pt idx="137">
                  <c:v>2.8376844494892168</c:v>
                </c:pt>
                <c:pt idx="138">
                  <c:v>2.8376844494892168</c:v>
                </c:pt>
                <c:pt idx="139">
                  <c:v>2.8376844494892168</c:v>
                </c:pt>
                <c:pt idx="140">
                  <c:v>2.8401022436807724</c:v>
                </c:pt>
                <c:pt idx="141">
                  <c:v>2.8401022436807724</c:v>
                </c:pt>
                <c:pt idx="142">
                  <c:v>2.8401022436807724</c:v>
                </c:pt>
                <c:pt idx="143">
                  <c:v>2.8401022436807724</c:v>
                </c:pt>
                <c:pt idx="144">
                  <c:v>2.8441410693970419</c:v>
                </c:pt>
                <c:pt idx="145">
                  <c:v>2.8441410693970419</c:v>
                </c:pt>
                <c:pt idx="146">
                  <c:v>2.8441410693970419</c:v>
                </c:pt>
                <c:pt idx="147">
                  <c:v>2.8481913984619767</c:v>
                </c:pt>
                <c:pt idx="148">
                  <c:v>2.8481913984619767</c:v>
                </c:pt>
                <c:pt idx="149">
                  <c:v>2.8481913984619767</c:v>
                </c:pt>
                <c:pt idx="150">
                  <c:v>2.8506271379703532</c:v>
                </c:pt>
                <c:pt idx="151">
                  <c:v>2.8506271379703532</c:v>
                </c:pt>
                <c:pt idx="152">
                  <c:v>2.8506271379703532</c:v>
                </c:pt>
                <c:pt idx="153">
                  <c:v>2.8538812785388128</c:v>
                </c:pt>
                <c:pt idx="154">
                  <c:v>2.8538812785388128</c:v>
                </c:pt>
                <c:pt idx="155">
                  <c:v>2.8538812785388128</c:v>
                </c:pt>
                <c:pt idx="156">
                  <c:v>2.8571428571428572</c:v>
                </c:pt>
                <c:pt idx="157">
                  <c:v>2.8571428571428572</c:v>
                </c:pt>
                <c:pt idx="158">
                  <c:v>2.8571428571428572</c:v>
                </c:pt>
                <c:pt idx="159">
                  <c:v>2.8571428571428572</c:v>
                </c:pt>
                <c:pt idx="160">
                  <c:v>2.860411899313501</c:v>
                </c:pt>
                <c:pt idx="161">
                  <c:v>2.860411899313501</c:v>
                </c:pt>
                <c:pt idx="162">
                  <c:v>2.860411899313501</c:v>
                </c:pt>
                <c:pt idx="163">
                  <c:v>2.86368843069874</c:v>
                </c:pt>
                <c:pt idx="164">
                  <c:v>2.86368843069874</c:v>
                </c:pt>
                <c:pt idx="165">
                  <c:v>2.86368843069874</c:v>
                </c:pt>
                <c:pt idx="166">
                  <c:v>2.8677946659019216</c:v>
                </c:pt>
                <c:pt idx="167">
                  <c:v>2.8677946659019216</c:v>
                </c:pt>
                <c:pt idx="168">
                  <c:v>2.8677946659019216</c:v>
                </c:pt>
                <c:pt idx="169">
                  <c:v>2.8768699654775602</c:v>
                </c:pt>
                <c:pt idx="170">
                  <c:v>2.8768699654775602</c:v>
                </c:pt>
                <c:pt idx="171">
                  <c:v>2.8768699654775602</c:v>
                </c:pt>
                <c:pt idx="172">
                  <c:v>2.881014116969173</c:v>
                </c:pt>
                <c:pt idx="173">
                  <c:v>2.881014116969173</c:v>
                </c:pt>
                <c:pt idx="174">
                  <c:v>2.881014116969173</c:v>
                </c:pt>
                <c:pt idx="175">
                  <c:v>2.881014116969173</c:v>
                </c:pt>
                <c:pt idx="176">
                  <c:v>2.8851702250432774</c:v>
                </c:pt>
                <c:pt idx="177">
                  <c:v>2.8851702250432774</c:v>
                </c:pt>
                <c:pt idx="178">
                  <c:v>2.8851702250432774</c:v>
                </c:pt>
                <c:pt idx="179">
                  <c:v>2.8868360277136262</c:v>
                </c:pt>
                <c:pt idx="180">
                  <c:v>2.8868360277136262</c:v>
                </c:pt>
                <c:pt idx="181">
                  <c:v>2.8868360277136262</c:v>
                </c:pt>
                <c:pt idx="182">
                  <c:v>2.8943560057887119</c:v>
                </c:pt>
                <c:pt idx="183">
                  <c:v>2.8943560057887119</c:v>
                </c:pt>
                <c:pt idx="184">
                  <c:v>2.8943560057887119</c:v>
                </c:pt>
                <c:pt idx="185">
                  <c:v>2.8968713789107765</c:v>
                </c:pt>
                <c:pt idx="186">
                  <c:v>2.8968713789107765</c:v>
                </c:pt>
                <c:pt idx="187">
                  <c:v>2.8968713789107765</c:v>
                </c:pt>
                <c:pt idx="188">
                  <c:v>2.8977108084613152</c:v>
                </c:pt>
                <c:pt idx="189">
                  <c:v>2.8977108084613152</c:v>
                </c:pt>
                <c:pt idx="190">
                  <c:v>2.8977108084613152</c:v>
                </c:pt>
                <c:pt idx="191">
                  <c:v>2.8977108084613152</c:v>
                </c:pt>
                <c:pt idx="192">
                  <c:v>2.9002320185614847</c:v>
                </c:pt>
                <c:pt idx="193">
                  <c:v>2.9002320185614847</c:v>
                </c:pt>
                <c:pt idx="194">
                  <c:v>2.9002320185614847</c:v>
                </c:pt>
                <c:pt idx="195">
                  <c:v>2.9027576197387517</c:v>
                </c:pt>
                <c:pt idx="196">
                  <c:v>2.9027576197387517</c:v>
                </c:pt>
                <c:pt idx="197">
                  <c:v>2.9027576197387517</c:v>
                </c:pt>
                <c:pt idx="198">
                  <c:v>2.9061319383900028</c:v>
                </c:pt>
                <c:pt idx="199">
                  <c:v>2.9061319383900028</c:v>
                </c:pt>
                <c:pt idx="200">
                  <c:v>2.9061319383900028</c:v>
                </c:pt>
                <c:pt idx="201">
                  <c:v>2.9086678301337985</c:v>
                </c:pt>
                <c:pt idx="202">
                  <c:v>2.9086678301337985</c:v>
                </c:pt>
                <c:pt idx="203">
                  <c:v>2.9086678301337985</c:v>
                </c:pt>
                <c:pt idx="204">
                  <c:v>2.9129041654529564</c:v>
                </c:pt>
                <c:pt idx="205">
                  <c:v>2.9129041654529564</c:v>
                </c:pt>
                <c:pt idx="206">
                  <c:v>2.9129041654529564</c:v>
                </c:pt>
                <c:pt idx="207">
                  <c:v>2.9129041654529564</c:v>
                </c:pt>
                <c:pt idx="208">
                  <c:v>2.914602156805596</c:v>
                </c:pt>
                <c:pt idx="209">
                  <c:v>2.914602156805596</c:v>
                </c:pt>
                <c:pt idx="210">
                  <c:v>2.914602156805596</c:v>
                </c:pt>
                <c:pt idx="211">
                  <c:v>2.9154518950437316</c:v>
                </c:pt>
                <c:pt idx="212">
                  <c:v>2.9154518950437316</c:v>
                </c:pt>
                <c:pt idx="213">
                  <c:v>2.9154518950437316</c:v>
                </c:pt>
                <c:pt idx="214">
                  <c:v>2.9171528588098017</c:v>
                </c:pt>
                <c:pt idx="215">
                  <c:v>2.9171528588098017</c:v>
                </c:pt>
                <c:pt idx="216">
                  <c:v>2.9171528588098017</c:v>
                </c:pt>
                <c:pt idx="217">
                  <c:v>2.9188558085230589</c:v>
                </c:pt>
                <c:pt idx="218">
                  <c:v>2.9188558085230589</c:v>
                </c:pt>
                <c:pt idx="219">
                  <c:v>2.9188558085230589</c:v>
                </c:pt>
                <c:pt idx="220">
                  <c:v>2.9214139643587496</c:v>
                </c:pt>
                <c:pt idx="221">
                  <c:v>2.9214139643587496</c:v>
                </c:pt>
                <c:pt idx="222">
                  <c:v>2.9214139643587496</c:v>
                </c:pt>
                <c:pt idx="223">
                  <c:v>2.9214139643587496</c:v>
                </c:pt>
                <c:pt idx="224">
                  <c:v>2.9239766081871346</c:v>
                </c:pt>
                <c:pt idx="225">
                  <c:v>2.9239766081871346</c:v>
                </c:pt>
                <c:pt idx="226">
                  <c:v>2.9239766081871346</c:v>
                </c:pt>
                <c:pt idx="227">
                  <c:v>2.9274004683840746</c:v>
                </c:pt>
                <c:pt idx="228">
                  <c:v>2.9274004683840746</c:v>
                </c:pt>
                <c:pt idx="229">
                  <c:v>2.9274004683840746</c:v>
                </c:pt>
                <c:pt idx="230">
                  <c:v>2.9308323563892147</c:v>
                </c:pt>
                <c:pt idx="231">
                  <c:v>2.9308323563892147</c:v>
                </c:pt>
                <c:pt idx="232">
                  <c:v>2.9308323563892147</c:v>
                </c:pt>
                <c:pt idx="233">
                  <c:v>2.9351335485764602</c:v>
                </c:pt>
                <c:pt idx="234">
                  <c:v>2.9351335485764602</c:v>
                </c:pt>
                <c:pt idx="235">
                  <c:v>2.9351335485764602</c:v>
                </c:pt>
                <c:pt idx="236">
                  <c:v>2.9368575624082234</c:v>
                </c:pt>
                <c:pt idx="237">
                  <c:v>2.9368575624082234</c:v>
                </c:pt>
                <c:pt idx="238">
                  <c:v>2.9368575624082234</c:v>
                </c:pt>
                <c:pt idx="239">
                  <c:v>2.9368575624082234</c:v>
                </c:pt>
                <c:pt idx="240">
                  <c:v>2.9403116730373418</c:v>
                </c:pt>
                <c:pt idx="241">
                  <c:v>2.9403116730373418</c:v>
                </c:pt>
                <c:pt idx="242">
                  <c:v>2.9403116730373418</c:v>
                </c:pt>
                <c:pt idx="243">
                  <c:v>2.9403116730373418</c:v>
                </c:pt>
                <c:pt idx="244">
                  <c:v>2.9403116730373418</c:v>
                </c:pt>
                <c:pt idx="245">
                  <c:v>2.9403116730373418</c:v>
                </c:pt>
                <c:pt idx="246">
                  <c:v>2.9420417769932334</c:v>
                </c:pt>
                <c:pt idx="247">
                  <c:v>2.9420417769932334</c:v>
                </c:pt>
                <c:pt idx="248">
                  <c:v>2.9420417769932334</c:v>
                </c:pt>
                <c:pt idx="249">
                  <c:v>2.9429075927015891</c:v>
                </c:pt>
                <c:pt idx="250">
                  <c:v>2.9429075927015891</c:v>
                </c:pt>
                <c:pt idx="251">
                  <c:v>2.9429075927015891</c:v>
                </c:pt>
                <c:pt idx="252">
                  <c:v>2.9455081001472756</c:v>
                </c:pt>
                <c:pt idx="253">
                  <c:v>2.9455081001472756</c:v>
                </c:pt>
                <c:pt idx="254">
                  <c:v>2.9455081001472756</c:v>
                </c:pt>
                <c:pt idx="255">
                  <c:v>2.9455081001472756</c:v>
                </c:pt>
                <c:pt idx="256">
                  <c:v>2.9472443265546713</c:v>
                </c:pt>
                <c:pt idx="257">
                  <c:v>2.9472443265546713</c:v>
                </c:pt>
                <c:pt idx="258">
                  <c:v>2.9472443265546713</c:v>
                </c:pt>
                <c:pt idx="259">
                  <c:v>2.9498525073746311</c:v>
                </c:pt>
                <c:pt idx="260">
                  <c:v>2.9498525073746311</c:v>
                </c:pt>
                <c:pt idx="261">
                  <c:v>2.9498525073746311</c:v>
                </c:pt>
                <c:pt idx="262">
                  <c:v>2.9507229271171438</c:v>
                </c:pt>
                <c:pt idx="263">
                  <c:v>2.9507229271171438</c:v>
                </c:pt>
                <c:pt idx="264">
                  <c:v>2.9507229271171438</c:v>
                </c:pt>
                <c:pt idx="265">
                  <c:v>2.9524653085326249</c:v>
                </c:pt>
                <c:pt idx="266">
                  <c:v>2.9524653085326249</c:v>
                </c:pt>
                <c:pt idx="267">
                  <c:v>2.9524653085326249</c:v>
                </c:pt>
                <c:pt idx="268">
                  <c:v>2.9550827423167849</c:v>
                </c:pt>
                <c:pt idx="269">
                  <c:v>2.9550827423167849</c:v>
                </c:pt>
                <c:pt idx="270">
                  <c:v>2.9550827423167849</c:v>
                </c:pt>
                <c:pt idx="271">
                  <c:v>2.9550827423167849</c:v>
                </c:pt>
                <c:pt idx="272">
                  <c:v>2.9577048210588583</c:v>
                </c:pt>
                <c:pt idx="273">
                  <c:v>2.9577048210588583</c:v>
                </c:pt>
                <c:pt idx="274">
                  <c:v>2.9577048210588583</c:v>
                </c:pt>
                <c:pt idx="275">
                  <c:v>2.9585798816568047</c:v>
                </c:pt>
                <c:pt idx="276">
                  <c:v>2.9585798816568047</c:v>
                </c:pt>
                <c:pt idx="277">
                  <c:v>2.9585798816568047</c:v>
                </c:pt>
                <c:pt idx="278">
                  <c:v>2.9603315571343991</c:v>
                </c:pt>
                <c:pt idx="279">
                  <c:v>2.9603315571343991</c:v>
                </c:pt>
                <c:pt idx="280">
                  <c:v>2.9603315571343991</c:v>
                </c:pt>
                <c:pt idx="281">
                  <c:v>2.9655990510083039</c:v>
                </c:pt>
                <c:pt idx="282">
                  <c:v>2.9655990510083039</c:v>
                </c:pt>
                <c:pt idx="283">
                  <c:v>2.9655990510083039</c:v>
                </c:pt>
                <c:pt idx="284">
                  <c:v>2.9682398337785694</c:v>
                </c:pt>
                <c:pt idx="285">
                  <c:v>2.9682398337785694</c:v>
                </c:pt>
                <c:pt idx="286">
                  <c:v>2.9682398337785694</c:v>
                </c:pt>
                <c:pt idx="287">
                  <c:v>2.9682398337785694</c:v>
                </c:pt>
                <c:pt idx="288">
                  <c:v>2.97000297000297</c:v>
                </c:pt>
                <c:pt idx="289">
                  <c:v>2.97000297000297</c:v>
                </c:pt>
                <c:pt idx="290">
                  <c:v>2.97000297000297</c:v>
                </c:pt>
                <c:pt idx="291">
                  <c:v>2.9735355337496281</c:v>
                </c:pt>
                <c:pt idx="292">
                  <c:v>2.9735355337496281</c:v>
                </c:pt>
                <c:pt idx="293">
                  <c:v>2.9735355337496281</c:v>
                </c:pt>
                <c:pt idx="294">
                  <c:v>2.9761904761904763</c:v>
                </c:pt>
                <c:pt idx="295">
                  <c:v>2.9761904761904763</c:v>
                </c:pt>
                <c:pt idx="296">
                  <c:v>2.9761904761904763</c:v>
                </c:pt>
                <c:pt idx="297">
                  <c:v>2.9761904761904763</c:v>
                </c:pt>
                <c:pt idx="298">
                  <c:v>2.9761904761904763</c:v>
                </c:pt>
                <c:pt idx="299">
                  <c:v>2.9761904761904763</c:v>
                </c:pt>
                <c:pt idx="300">
                  <c:v>2.9761904761904763</c:v>
                </c:pt>
                <c:pt idx="301">
                  <c:v>2.9761904761904763</c:v>
                </c:pt>
                <c:pt idx="302">
                  <c:v>2.9761904761904763</c:v>
                </c:pt>
                <c:pt idx="303">
                  <c:v>2.9761904761904763</c:v>
                </c:pt>
                <c:pt idx="304">
                  <c:v>2.9770765108663295</c:v>
                </c:pt>
                <c:pt idx="305">
                  <c:v>2.9770765108663295</c:v>
                </c:pt>
                <c:pt idx="306">
                  <c:v>2.9770765108663295</c:v>
                </c:pt>
                <c:pt idx="307">
                  <c:v>2.9779630732578917</c:v>
                </c:pt>
                <c:pt idx="308">
                  <c:v>2.9779630732578917</c:v>
                </c:pt>
                <c:pt idx="309">
                  <c:v>2.9779630732578917</c:v>
                </c:pt>
                <c:pt idx="310">
                  <c:v>2.9788501638367593</c:v>
                </c:pt>
                <c:pt idx="311">
                  <c:v>2.9788501638367593</c:v>
                </c:pt>
                <c:pt idx="312">
                  <c:v>2.9788501638367593</c:v>
                </c:pt>
                <c:pt idx="313">
                  <c:v>2.9832935560859188</c:v>
                </c:pt>
                <c:pt idx="314">
                  <c:v>2.9832935560859188</c:v>
                </c:pt>
                <c:pt idx="315">
                  <c:v>2.9832935560859188</c:v>
                </c:pt>
                <c:pt idx="316">
                  <c:v>2.9859659599880564</c:v>
                </c:pt>
                <c:pt idx="317">
                  <c:v>2.9859659599880564</c:v>
                </c:pt>
                <c:pt idx="318">
                  <c:v>2.9859659599880564</c:v>
                </c:pt>
                <c:pt idx="319">
                  <c:v>2.9859659599880564</c:v>
                </c:pt>
                <c:pt idx="320">
                  <c:v>2.9859659599880564</c:v>
                </c:pt>
                <c:pt idx="321">
                  <c:v>2.9859659599880564</c:v>
                </c:pt>
                <c:pt idx="322">
                  <c:v>2.9859659599880564</c:v>
                </c:pt>
                <c:pt idx="323">
                  <c:v>2.9868578255675029</c:v>
                </c:pt>
                <c:pt idx="324">
                  <c:v>2.9868578255675029</c:v>
                </c:pt>
                <c:pt idx="325">
                  <c:v>2.9868578255675029</c:v>
                </c:pt>
                <c:pt idx="326">
                  <c:v>2.987750224081267</c:v>
                </c:pt>
                <c:pt idx="327">
                  <c:v>2.987750224081267</c:v>
                </c:pt>
                <c:pt idx="328">
                  <c:v>2.987750224081267</c:v>
                </c:pt>
                <c:pt idx="329">
                  <c:v>2.9895366218236172</c:v>
                </c:pt>
                <c:pt idx="330">
                  <c:v>2.9895366218236172</c:v>
                </c:pt>
                <c:pt idx="331">
                  <c:v>2.9895366218236172</c:v>
                </c:pt>
                <c:pt idx="332">
                  <c:v>2.9913251570445705</c:v>
                </c:pt>
                <c:pt idx="333">
                  <c:v>2.9913251570445705</c:v>
                </c:pt>
                <c:pt idx="334">
                  <c:v>2.9913251570445705</c:v>
                </c:pt>
                <c:pt idx="335">
                  <c:v>2.9913251570445705</c:v>
                </c:pt>
                <c:pt idx="336">
                  <c:v>2.9931158335827592</c:v>
                </c:pt>
                <c:pt idx="337">
                  <c:v>2.9931158335827592</c:v>
                </c:pt>
                <c:pt idx="338">
                  <c:v>2.9931158335827592</c:v>
                </c:pt>
                <c:pt idx="339">
                  <c:v>2.994908655286014</c:v>
                </c:pt>
                <c:pt idx="340">
                  <c:v>2.994908655286014</c:v>
                </c:pt>
                <c:pt idx="341">
                  <c:v>2.994908655286014</c:v>
                </c:pt>
                <c:pt idx="342">
                  <c:v>2.994908655286014</c:v>
                </c:pt>
                <c:pt idx="343">
                  <c:v>2.994908655286014</c:v>
                </c:pt>
                <c:pt idx="344">
                  <c:v>2.994908655286014</c:v>
                </c:pt>
                <c:pt idx="345">
                  <c:v>2.9967036260113877</c:v>
                </c:pt>
                <c:pt idx="346">
                  <c:v>2.9967036260113877</c:v>
                </c:pt>
                <c:pt idx="347">
                  <c:v>2.9967036260113877</c:v>
                </c:pt>
                <c:pt idx="348">
                  <c:v>2.9976019184652278</c:v>
                </c:pt>
                <c:pt idx="349">
                  <c:v>2.9976019184652278</c:v>
                </c:pt>
                <c:pt idx="350">
                  <c:v>2.9976019184652278</c:v>
                </c:pt>
                <c:pt idx="351">
                  <c:v>2.9976019184652278</c:v>
                </c:pt>
                <c:pt idx="352">
                  <c:v>2.9994001199760052</c:v>
                </c:pt>
                <c:pt idx="353">
                  <c:v>2.9994001199760052</c:v>
                </c:pt>
                <c:pt idx="354">
                  <c:v>2.9994001199760052</c:v>
                </c:pt>
                <c:pt idx="355">
                  <c:v>3.0012004801920771</c:v>
                </c:pt>
                <c:pt idx="356">
                  <c:v>3.0012004801920771</c:v>
                </c:pt>
                <c:pt idx="357">
                  <c:v>3.0012004801920771</c:v>
                </c:pt>
                <c:pt idx="358">
                  <c:v>3.0012004801920771</c:v>
                </c:pt>
                <c:pt idx="359">
                  <c:v>3.0012004801920771</c:v>
                </c:pt>
                <c:pt idx="360">
                  <c:v>3.0012004801920771</c:v>
                </c:pt>
                <c:pt idx="361">
                  <c:v>3.0021014710297207</c:v>
                </c:pt>
                <c:pt idx="362">
                  <c:v>3.0021014710297207</c:v>
                </c:pt>
                <c:pt idx="363">
                  <c:v>3.0021014710297207</c:v>
                </c:pt>
                <c:pt idx="364">
                  <c:v>3.0030030030030028</c:v>
                </c:pt>
                <c:pt idx="365">
                  <c:v>3.0030030030030028</c:v>
                </c:pt>
                <c:pt idx="366">
                  <c:v>3.0030030030030028</c:v>
                </c:pt>
                <c:pt idx="367">
                  <c:v>3.0030030030030028</c:v>
                </c:pt>
                <c:pt idx="368">
                  <c:v>3.0030030030030028</c:v>
                </c:pt>
                <c:pt idx="369">
                  <c:v>3.0030030030030028</c:v>
                </c:pt>
                <c:pt idx="370">
                  <c:v>3.0030030030030028</c:v>
                </c:pt>
                <c:pt idx="371">
                  <c:v>3.0039050765995796</c:v>
                </c:pt>
                <c:pt idx="372">
                  <c:v>3.0039050765995796</c:v>
                </c:pt>
                <c:pt idx="373">
                  <c:v>3.0039050765995796</c:v>
                </c:pt>
                <c:pt idx="374">
                  <c:v>3.007518796992481</c:v>
                </c:pt>
                <c:pt idx="375">
                  <c:v>3.007518796992481</c:v>
                </c:pt>
                <c:pt idx="376">
                  <c:v>3.007518796992481</c:v>
                </c:pt>
                <c:pt idx="377">
                  <c:v>3.0093289196509176</c:v>
                </c:pt>
                <c:pt idx="378">
                  <c:v>3.0093289196509176</c:v>
                </c:pt>
                <c:pt idx="379">
                  <c:v>3.0093289196509176</c:v>
                </c:pt>
                <c:pt idx="380">
                  <c:v>3.0093289196509176</c:v>
                </c:pt>
                <c:pt idx="381">
                  <c:v>3.0093289196509176</c:v>
                </c:pt>
                <c:pt idx="382">
                  <c:v>3.0093289196509176</c:v>
                </c:pt>
                <c:pt idx="383">
                  <c:v>3.0093289196509176</c:v>
                </c:pt>
                <c:pt idx="384">
                  <c:v>3.0093289196509176</c:v>
                </c:pt>
                <c:pt idx="385">
                  <c:v>3.0093289196509176</c:v>
                </c:pt>
                <c:pt idx="386">
                  <c:v>3.0093289196509176</c:v>
                </c:pt>
                <c:pt idx="387">
                  <c:v>3.0093289196509176</c:v>
                </c:pt>
                <c:pt idx="388">
                  <c:v>3.0093289196509176</c:v>
                </c:pt>
                <c:pt idx="389">
                  <c:v>3.0093289196509176</c:v>
                </c:pt>
                <c:pt idx="390">
                  <c:v>3.0093289196509176</c:v>
                </c:pt>
                <c:pt idx="391">
                  <c:v>3.0093289196509176</c:v>
                </c:pt>
                <c:pt idx="392">
                  <c:v>3.0093289196509176</c:v>
                </c:pt>
                <c:pt idx="393">
                  <c:v>3.011141222523336</c:v>
                </c:pt>
                <c:pt idx="394">
                  <c:v>3.011141222523336</c:v>
                </c:pt>
                <c:pt idx="395">
                  <c:v>3.011141222523336</c:v>
                </c:pt>
                <c:pt idx="396">
                  <c:v>3.0129557095510697</c:v>
                </c:pt>
                <c:pt idx="397">
                  <c:v>3.0129557095510697</c:v>
                </c:pt>
                <c:pt idx="398">
                  <c:v>3.0129557095510697</c:v>
                </c:pt>
                <c:pt idx="399">
                  <c:v>3.0129557095510697</c:v>
                </c:pt>
                <c:pt idx="400">
                  <c:v>3.0129557095510697</c:v>
                </c:pt>
                <c:pt idx="401">
                  <c:v>3.0129557095510697</c:v>
                </c:pt>
                <c:pt idx="402">
                  <c:v>3.0129557095510697</c:v>
                </c:pt>
                <c:pt idx="403">
                  <c:v>3.0120481927710845</c:v>
                </c:pt>
                <c:pt idx="404">
                  <c:v>3.0120481927710845</c:v>
                </c:pt>
                <c:pt idx="405">
                  <c:v>3.0120481927710845</c:v>
                </c:pt>
                <c:pt idx="406">
                  <c:v>3.0120481927710845</c:v>
                </c:pt>
                <c:pt idx="407">
                  <c:v>3.0120481927710845</c:v>
                </c:pt>
                <c:pt idx="408">
                  <c:v>3.0120481927710845</c:v>
                </c:pt>
                <c:pt idx="409">
                  <c:v>3.0129557095510697</c:v>
                </c:pt>
                <c:pt idx="410">
                  <c:v>3.0129557095510697</c:v>
                </c:pt>
                <c:pt idx="411">
                  <c:v>3.0129557095510697</c:v>
                </c:pt>
                <c:pt idx="412">
                  <c:v>3.013863773357444</c:v>
                </c:pt>
                <c:pt idx="413">
                  <c:v>3.013863773357444</c:v>
                </c:pt>
                <c:pt idx="414">
                  <c:v>3.013863773357444</c:v>
                </c:pt>
                <c:pt idx="415">
                  <c:v>3.013863773357444</c:v>
                </c:pt>
                <c:pt idx="416">
                  <c:v>3.013863773357444</c:v>
                </c:pt>
                <c:pt idx="417">
                  <c:v>3.013863773357444</c:v>
                </c:pt>
                <c:pt idx="418">
                  <c:v>3.013863773357444</c:v>
                </c:pt>
                <c:pt idx="419">
                  <c:v>3.013863773357444</c:v>
                </c:pt>
                <c:pt idx="420">
                  <c:v>3.013863773357444</c:v>
                </c:pt>
                <c:pt idx="421">
                  <c:v>3.013863773357444</c:v>
                </c:pt>
                <c:pt idx="422">
                  <c:v>3.0147723846849566</c:v>
                </c:pt>
                <c:pt idx="423">
                  <c:v>3.0147723846849566</c:v>
                </c:pt>
                <c:pt idx="424">
                  <c:v>3.0147723846849566</c:v>
                </c:pt>
                <c:pt idx="425">
                  <c:v>3.0156815440289502</c:v>
                </c:pt>
                <c:pt idx="426">
                  <c:v>3.0156815440289502</c:v>
                </c:pt>
                <c:pt idx="427">
                  <c:v>3.0156815440289502</c:v>
                </c:pt>
                <c:pt idx="428">
                  <c:v>3.0165912518853695</c:v>
                </c:pt>
                <c:pt idx="429">
                  <c:v>3.0165912518853695</c:v>
                </c:pt>
                <c:pt idx="430">
                  <c:v>3.0165912518853695</c:v>
                </c:pt>
                <c:pt idx="431">
                  <c:v>3.0165912518853695</c:v>
                </c:pt>
                <c:pt idx="432">
                  <c:v>3.0184123151222457</c:v>
                </c:pt>
                <c:pt idx="433">
                  <c:v>3.0184123151222457</c:v>
                </c:pt>
                <c:pt idx="434">
                  <c:v>3.0184123151222457</c:v>
                </c:pt>
                <c:pt idx="435">
                  <c:v>3.0202355783751131</c:v>
                </c:pt>
                <c:pt idx="436">
                  <c:v>3.0202355783751131</c:v>
                </c:pt>
                <c:pt idx="437">
                  <c:v>3.0202355783751131</c:v>
                </c:pt>
                <c:pt idx="438">
                  <c:v>3.0202355783751131</c:v>
                </c:pt>
                <c:pt idx="439">
                  <c:v>3.0202355783751131</c:v>
                </c:pt>
                <c:pt idx="440">
                  <c:v>3.0202355783751131</c:v>
                </c:pt>
                <c:pt idx="441">
                  <c:v>3.0202355783751131</c:v>
                </c:pt>
                <c:pt idx="442">
                  <c:v>3.0202355783751131</c:v>
                </c:pt>
                <c:pt idx="443">
                  <c:v>3.0202355783751131</c:v>
                </c:pt>
                <c:pt idx="444">
                  <c:v>3.0220610456331221</c:v>
                </c:pt>
                <c:pt idx="445">
                  <c:v>3.0220610456331221</c:v>
                </c:pt>
                <c:pt idx="446">
                  <c:v>3.0220610456331221</c:v>
                </c:pt>
                <c:pt idx="447">
                  <c:v>3.0220610456331221</c:v>
                </c:pt>
                <c:pt idx="448">
                  <c:v>3.022974607013301</c:v>
                </c:pt>
                <c:pt idx="449">
                  <c:v>3.022974607013301</c:v>
                </c:pt>
                <c:pt idx="450">
                  <c:v>3.022974607013301</c:v>
                </c:pt>
                <c:pt idx="451">
                  <c:v>3.022974607013301</c:v>
                </c:pt>
                <c:pt idx="452">
                  <c:v>3.022974607013301</c:v>
                </c:pt>
                <c:pt idx="453">
                  <c:v>3.022974607013301</c:v>
                </c:pt>
                <c:pt idx="454">
                  <c:v>3.0238887208950711</c:v>
                </c:pt>
                <c:pt idx="455">
                  <c:v>3.0238887208950711</c:v>
                </c:pt>
                <c:pt idx="456">
                  <c:v>3.0238887208950711</c:v>
                </c:pt>
                <c:pt idx="457">
                  <c:v>3.0238887208950711</c:v>
                </c:pt>
                <c:pt idx="458">
                  <c:v>3.0238887208950711</c:v>
                </c:pt>
                <c:pt idx="459">
                  <c:v>3.0238887208950711</c:v>
                </c:pt>
                <c:pt idx="460">
                  <c:v>3.0238887208950711</c:v>
                </c:pt>
                <c:pt idx="461">
                  <c:v>3.0238887208950711</c:v>
                </c:pt>
                <c:pt idx="462">
                  <c:v>3.0238887208950711</c:v>
                </c:pt>
                <c:pt idx="463">
                  <c:v>3.0238887208950711</c:v>
                </c:pt>
                <c:pt idx="464">
                  <c:v>3.024803387779794</c:v>
                </c:pt>
                <c:pt idx="465">
                  <c:v>3.024803387779794</c:v>
                </c:pt>
                <c:pt idx="466">
                  <c:v>3.024803387779794</c:v>
                </c:pt>
                <c:pt idx="467">
                  <c:v>3.026634382566586</c:v>
                </c:pt>
                <c:pt idx="468">
                  <c:v>3.026634382566586</c:v>
                </c:pt>
                <c:pt idx="469">
                  <c:v>3.026634382566586</c:v>
                </c:pt>
                <c:pt idx="470">
                  <c:v>3.0284675953967293</c:v>
                </c:pt>
                <c:pt idx="471">
                  <c:v>3.0284675953967293</c:v>
                </c:pt>
                <c:pt idx="472">
                  <c:v>3.0284675953967293</c:v>
                </c:pt>
                <c:pt idx="473">
                  <c:v>3.0293850348379276</c:v>
                </c:pt>
                <c:pt idx="474">
                  <c:v>3.0293850348379276</c:v>
                </c:pt>
                <c:pt idx="475">
                  <c:v>3.0293850348379276</c:v>
                </c:pt>
                <c:pt idx="476">
                  <c:v>3.031221582297666</c:v>
                </c:pt>
                <c:pt idx="477">
                  <c:v>3.031221582297666</c:v>
                </c:pt>
                <c:pt idx="478">
                  <c:v>3.031221582297666</c:v>
                </c:pt>
                <c:pt idx="479">
                  <c:v>3.031221582297666</c:v>
                </c:pt>
                <c:pt idx="480">
                  <c:v>3.0321406913280775</c:v>
                </c:pt>
                <c:pt idx="481">
                  <c:v>3.0321406913280775</c:v>
                </c:pt>
                <c:pt idx="482">
                  <c:v>3.0321406913280775</c:v>
                </c:pt>
                <c:pt idx="483">
                  <c:v>3.0321406913280775</c:v>
                </c:pt>
                <c:pt idx="484">
                  <c:v>3.0321406913280775</c:v>
                </c:pt>
                <c:pt idx="485">
                  <c:v>3.0321406913280775</c:v>
                </c:pt>
                <c:pt idx="486">
                  <c:v>3.0321406913280775</c:v>
                </c:pt>
                <c:pt idx="487">
                  <c:v>3.0321406913280775</c:v>
                </c:pt>
                <c:pt idx="488">
                  <c:v>3.0321406913280775</c:v>
                </c:pt>
                <c:pt idx="489">
                  <c:v>3.0358227079538556</c:v>
                </c:pt>
                <c:pt idx="490">
                  <c:v>3.0358227079538556</c:v>
                </c:pt>
                <c:pt idx="491">
                  <c:v>3.0358227079538556</c:v>
                </c:pt>
                <c:pt idx="492">
                  <c:v>3.0376670716889431</c:v>
                </c:pt>
                <c:pt idx="493">
                  <c:v>3.0376670716889431</c:v>
                </c:pt>
                <c:pt idx="494">
                  <c:v>3.0376670716889431</c:v>
                </c:pt>
                <c:pt idx="495">
                  <c:v>3.0376670716889431</c:v>
                </c:pt>
                <c:pt idx="496">
                  <c:v>3.0376670716889431</c:v>
                </c:pt>
                <c:pt idx="497">
                  <c:v>3.0376670716889431</c:v>
                </c:pt>
                <c:pt idx="498">
                  <c:v>3.0376670716889431</c:v>
                </c:pt>
                <c:pt idx="499">
                  <c:v>3.0404378230465188</c:v>
                </c:pt>
                <c:pt idx="500">
                  <c:v>3.0404378230465188</c:v>
                </c:pt>
                <c:pt idx="501">
                  <c:v>3.0404378230465188</c:v>
                </c:pt>
                <c:pt idx="502">
                  <c:v>3.0422878004259206</c:v>
                </c:pt>
                <c:pt idx="503">
                  <c:v>3.0422878004259206</c:v>
                </c:pt>
                <c:pt idx="504">
                  <c:v>3.0422878004259206</c:v>
                </c:pt>
                <c:pt idx="505">
                  <c:v>3.0450669914738127</c:v>
                </c:pt>
                <c:pt idx="506">
                  <c:v>3.0450669914738127</c:v>
                </c:pt>
                <c:pt idx="507">
                  <c:v>3.0450669914738127</c:v>
                </c:pt>
                <c:pt idx="508">
                  <c:v>3.0469226081657528</c:v>
                </c:pt>
                <c:pt idx="509">
                  <c:v>3.0469226081657528</c:v>
                </c:pt>
                <c:pt idx="510">
                  <c:v>3.0469226081657528</c:v>
                </c:pt>
                <c:pt idx="511">
                  <c:v>3.0469226081657528</c:v>
                </c:pt>
              </c:numCache>
            </c:numRef>
          </c:xVal>
          <c:yVal>
            <c:numRef>
              <c:f>Лист3!$K$10:$K$521</c:f>
              <c:numCache>
                <c:formatCode>0.000</c:formatCode>
                <c:ptCount val="512"/>
                <c:pt idx="0">
                  <c:v>5.4171919149545964</c:v>
                </c:pt>
                <c:pt idx="1">
                  <c:v>5.3796908162638442</c:v>
                </c:pt>
                <c:pt idx="2">
                  <c:v>5.3382550712563495</c:v>
                </c:pt>
                <c:pt idx="3">
                  <c:v>5.3021947826530376</c:v>
                </c:pt>
                <c:pt idx="4">
                  <c:v>5.2657699348064408</c:v>
                </c:pt>
                <c:pt idx="5">
                  <c:v>5.2286693768470132</c:v>
                </c:pt>
                <c:pt idx="6">
                  <c:v>5.1901926516886068</c:v>
                </c:pt>
                <c:pt idx="7">
                  <c:v>5.1516287925897064</c:v>
                </c:pt>
                <c:pt idx="8">
                  <c:v>5.1177145484561937</c:v>
                </c:pt>
                <c:pt idx="9">
                  <c:v>5.0811416993600984</c:v>
                </c:pt>
                <c:pt idx="10">
                  <c:v>5.0459718898092181</c:v>
                </c:pt>
                <c:pt idx="11">
                  <c:v>5.0120727731816705</c:v>
                </c:pt>
                <c:pt idx="12">
                  <c:v>4.9945839796471247</c:v>
                </c:pt>
                <c:pt idx="13">
                  <c:v>4.9694992320929421</c:v>
                </c:pt>
                <c:pt idx="14">
                  <c:v>4.9342387693404017</c:v>
                </c:pt>
                <c:pt idx="15">
                  <c:v>4.8963323977359243</c:v>
                </c:pt>
                <c:pt idx="16">
                  <c:v>4.8613438814885699</c:v>
                </c:pt>
                <c:pt idx="17">
                  <c:v>4.8261644954345959</c:v>
                </c:pt>
                <c:pt idx="18">
                  <c:v>4.7903552186636347</c:v>
                </c:pt>
                <c:pt idx="19">
                  <c:v>4.7571230812855276</c:v>
                </c:pt>
                <c:pt idx="20">
                  <c:v>4.7244248052824691</c:v>
                </c:pt>
                <c:pt idx="21">
                  <c:v>4.6551054016310314</c:v>
                </c:pt>
                <c:pt idx="22">
                  <c:v>4.6243295555783197</c:v>
                </c:pt>
                <c:pt idx="23">
                  <c:v>4.5893432406832853</c:v>
                </c:pt>
                <c:pt idx="24">
                  <c:v>4.5561277678839645</c:v>
                </c:pt>
                <c:pt idx="25">
                  <c:v>4.5239556102458662</c:v>
                </c:pt>
                <c:pt idx="26">
                  <c:v>4.4871221566734043</c:v>
                </c:pt>
                <c:pt idx="27">
                  <c:v>4.4571590494421702</c:v>
                </c:pt>
                <c:pt idx="28">
                  <c:v>4.4260592180717513</c:v>
                </c:pt>
                <c:pt idx="29">
                  <c:v>4.395130766676588</c:v>
                </c:pt>
                <c:pt idx="30">
                  <c:v>4.3663532917723895</c:v>
                </c:pt>
                <c:pt idx="31">
                  <c:v>4.3318009373886506</c:v>
                </c:pt>
                <c:pt idx="32">
                  <c:v>4.3012462329753047</c:v>
                </c:pt>
                <c:pt idx="33">
                  <c:v>4.2682784535319254</c:v>
                </c:pt>
                <c:pt idx="34">
                  <c:v>4.2375730353527548</c:v>
                </c:pt>
                <c:pt idx="35">
                  <c:v>4.2051425637893587</c:v>
                </c:pt>
                <c:pt idx="36">
                  <c:v>4.1705096637664365</c:v>
                </c:pt>
                <c:pt idx="37">
                  <c:v>4.1411836251462883</c:v>
                </c:pt>
                <c:pt idx="38">
                  <c:v>4.1127672475441468</c:v>
                </c:pt>
                <c:pt idx="39">
                  <c:v>4.0855970183635337</c:v>
                </c:pt>
                <c:pt idx="40">
                  <c:v>4.054968548417448</c:v>
                </c:pt>
                <c:pt idx="41">
                  <c:v>4.022344153918012</c:v>
                </c:pt>
                <c:pt idx="42">
                  <c:v>3.9938851757100826</c:v>
                </c:pt>
                <c:pt idx="43">
                  <c:v>3.9617817576890664</c:v>
                </c:pt>
                <c:pt idx="44">
                  <c:v>3.9370728315675483</c:v>
                </c:pt>
                <c:pt idx="45">
                  <c:v>3.9040142276651268</c:v>
                </c:pt>
                <c:pt idx="46">
                  <c:v>3.8737869520450308</c:v>
                </c:pt>
                <c:pt idx="47">
                  <c:v>3.8430958126957102</c:v>
                </c:pt>
                <c:pt idx="48">
                  <c:v>3.817036208875821</c:v>
                </c:pt>
                <c:pt idx="49">
                  <c:v>3.78542887852957</c:v>
                </c:pt>
                <c:pt idx="50">
                  <c:v>3.7569078960912563</c:v>
                </c:pt>
                <c:pt idx="51">
                  <c:v>3.7329680690374505</c:v>
                </c:pt>
                <c:pt idx="52">
                  <c:v>3.6999700702773803</c:v>
                </c:pt>
                <c:pt idx="53">
                  <c:v>3.6776650063764307</c:v>
                </c:pt>
                <c:pt idx="54">
                  <c:v>3.6488885420782782</c:v>
                </c:pt>
                <c:pt idx="55">
                  <c:v>3.6221450681464993</c:v>
                </c:pt>
                <c:pt idx="56">
                  <c:v>3.5950391353370925</c:v>
                </c:pt>
                <c:pt idx="57">
                  <c:v>3.5731390016965823</c:v>
                </c:pt>
                <c:pt idx="58">
                  <c:v>3.5493291966839458</c:v>
                </c:pt>
                <c:pt idx="59">
                  <c:v>3.5171353425995964</c:v>
                </c:pt>
                <c:pt idx="60">
                  <c:v>3.4950945547355539</c:v>
                </c:pt>
                <c:pt idx="61">
                  <c:v>3.4703008487818967</c:v>
                </c:pt>
                <c:pt idx="62">
                  <c:v>3.449402017033214</c:v>
                </c:pt>
                <c:pt idx="63">
                  <c:v>3.4197718454629329</c:v>
                </c:pt>
                <c:pt idx="64">
                  <c:v>3.3964757446712222</c:v>
                </c:pt>
                <c:pt idx="65">
                  <c:v>3.3747600047271238</c:v>
                </c:pt>
                <c:pt idx="66">
                  <c:v>3.3483859961632163</c:v>
                </c:pt>
                <c:pt idx="67">
                  <c:v>3.3277790666622491</c:v>
                </c:pt>
                <c:pt idx="68">
                  <c:v>3.3007516283288036</c:v>
                </c:pt>
                <c:pt idx="69">
                  <c:v>3.2733539396124796</c:v>
                </c:pt>
                <c:pt idx="70">
                  <c:v>3.2518752305577592</c:v>
                </c:pt>
                <c:pt idx="71">
                  <c:v>3.2284831510313765</c:v>
                </c:pt>
                <c:pt idx="72">
                  <c:v>3.2000466530268183</c:v>
                </c:pt>
                <c:pt idx="73">
                  <c:v>3.1870465117616682</c:v>
                </c:pt>
                <c:pt idx="74">
                  <c:v>3.1677226899381941</c:v>
                </c:pt>
                <c:pt idx="75">
                  <c:v>3.1383823104426067</c:v>
                </c:pt>
                <c:pt idx="76">
                  <c:v>3.1202280677789647</c:v>
                </c:pt>
                <c:pt idx="77">
                  <c:v>3.0951964519153035</c:v>
                </c:pt>
                <c:pt idx="78">
                  <c:v>3.0749431142794452</c:v>
                </c:pt>
                <c:pt idx="79">
                  <c:v>3.0544825777778151</c:v>
                </c:pt>
                <c:pt idx="80">
                  <c:v>3.0406492488274677</c:v>
                </c:pt>
                <c:pt idx="81">
                  <c:v>3.0145732601512081</c:v>
                </c:pt>
                <c:pt idx="82">
                  <c:v>2.9934648847938279</c:v>
                </c:pt>
                <c:pt idx="83">
                  <c:v>2.967864146930256</c:v>
                </c:pt>
                <c:pt idx="84">
                  <c:v>2.9462423147218253</c:v>
                </c:pt>
                <c:pt idx="85">
                  <c:v>2.9298711455489457</c:v>
                </c:pt>
                <c:pt idx="86">
                  <c:v>2.9150200348271738</c:v>
                </c:pt>
                <c:pt idx="87">
                  <c:v>2.8872031747349096</c:v>
                </c:pt>
                <c:pt idx="88">
                  <c:v>2.8703254374431806</c:v>
                </c:pt>
                <c:pt idx="89">
                  <c:v>2.8546854645986239</c:v>
                </c:pt>
                <c:pt idx="90">
                  <c:v>2.8317625775606108</c:v>
                </c:pt>
                <c:pt idx="91">
                  <c:v>2.8085739119987725</c:v>
                </c:pt>
                <c:pt idx="92">
                  <c:v>2.7926644635619469</c:v>
                </c:pt>
                <c:pt idx="93">
                  <c:v>2.774939089046256</c:v>
                </c:pt>
                <c:pt idx="94">
                  <c:v>2.7570552142949332</c:v>
                </c:pt>
                <c:pt idx="95">
                  <c:v>2.7390099790956586</c:v>
                </c:pt>
                <c:pt idx="96">
                  <c:v>2.728551701430685</c:v>
                </c:pt>
                <c:pt idx="97">
                  <c:v>2.7040865645594159</c:v>
                </c:pt>
                <c:pt idx="98">
                  <c:v>2.6855392909887574</c:v>
                </c:pt>
                <c:pt idx="99">
                  <c:v>2.674743933127504</c:v>
                </c:pt>
                <c:pt idx="100">
                  <c:v>2.6495863687137837</c:v>
                </c:pt>
                <c:pt idx="101">
                  <c:v>2.6305083226202659</c:v>
                </c:pt>
                <c:pt idx="102">
                  <c:v>2.61375036309505</c:v>
                </c:pt>
                <c:pt idx="103">
                  <c:v>2.6072883219321565</c:v>
                </c:pt>
                <c:pt idx="104">
                  <c:v>2.5943012633110603</c:v>
                </c:pt>
                <c:pt idx="105">
                  <c:v>2.5891697004900309</c:v>
                </c:pt>
                <c:pt idx="106">
                  <c:v>2.5628535313350085</c:v>
                </c:pt>
                <c:pt idx="107">
                  <c:v>2.5495644458976718</c:v>
                </c:pt>
                <c:pt idx="108">
                  <c:v>2.5378615118637735</c:v>
                </c:pt>
                <c:pt idx="109">
                  <c:v>2.5176252515326039</c:v>
                </c:pt>
                <c:pt idx="110">
                  <c:v>2.5108340735303276</c:v>
                </c:pt>
                <c:pt idx="111">
                  <c:v>2.4834363848140035</c:v>
                </c:pt>
                <c:pt idx="112">
                  <c:v>2.4721133351171973</c:v>
                </c:pt>
                <c:pt idx="113">
                  <c:v>2.4651568063645479</c:v>
                </c:pt>
                <c:pt idx="114">
                  <c:v>2.4511707353826067</c:v>
                </c:pt>
                <c:pt idx="115">
                  <c:v>2.431408058646821</c:v>
                </c:pt>
                <c:pt idx="116">
                  <c:v>2.402836144151868</c:v>
                </c:pt>
                <c:pt idx="117">
                  <c:v>2.3956289291452713</c:v>
                </c:pt>
                <c:pt idx="118">
                  <c:v>2.3970324381475914</c:v>
                </c:pt>
                <c:pt idx="119">
                  <c:v>2.3897991572072139</c:v>
                </c:pt>
                <c:pt idx="120">
                  <c:v>2.3752536385490548</c:v>
                </c:pt>
                <c:pt idx="121">
                  <c:v>2.3699092439678826</c:v>
                </c:pt>
                <c:pt idx="122">
                  <c:v>2.3552032953573647</c:v>
                </c:pt>
                <c:pt idx="123">
                  <c:v>2.3403884128016417</c:v>
                </c:pt>
                <c:pt idx="124">
                  <c:v>2.3426425698564408</c:v>
                </c:pt>
                <c:pt idx="125">
                  <c:v>2.3202124282161609</c:v>
                </c:pt>
                <c:pt idx="126">
                  <c:v>2.3126794626252067</c:v>
                </c:pt>
                <c:pt idx="127">
                  <c:v>2.2822606252981492</c:v>
                </c:pt>
                <c:pt idx="128">
                  <c:v>2.2765596369303149</c:v>
                </c:pt>
                <c:pt idx="129">
                  <c:v>2.3070945811918921</c:v>
                </c:pt>
                <c:pt idx="130">
                  <c:v>2.2842371895446467</c:v>
                </c:pt>
                <c:pt idx="131">
                  <c:v>2.2622467665825834</c:v>
                </c:pt>
                <c:pt idx="132">
                  <c:v>2.254479766529788</c:v>
                </c:pt>
                <c:pt idx="133">
                  <c:v>2.2466824856984737</c:v>
                </c:pt>
                <c:pt idx="134">
                  <c:v>2.2326953665293812</c:v>
                </c:pt>
                <c:pt idx="135">
                  <c:v>2.2326953665293812</c:v>
                </c:pt>
                <c:pt idx="136">
                  <c:v>2.2089327107558758</c:v>
                </c:pt>
                <c:pt idx="137">
                  <c:v>2.2180194375857671</c:v>
                </c:pt>
                <c:pt idx="138">
                  <c:v>2.1940670554923356</c:v>
                </c:pt>
                <c:pt idx="139">
                  <c:v>2.1860187548928849</c:v>
                </c:pt>
                <c:pt idx="140">
                  <c:v>2.1706760023286633</c:v>
                </c:pt>
                <c:pt idx="141">
                  <c:v>2.1706760023286633</c:v>
                </c:pt>
                <c:pt idx="142">
                  <c:v>2.1543493810503413</c:v>
                </c:pt>
                <c:pt idx="143">
                  <c:v>2.1543493810503413</c:v>
                </c:pt>
                <c:pt idx="144">
                  <c:v>2.155770441400326</c:v>
                </c:pt>
                <c:pt idx="145">
                  <c:v>2.1475568774950196</c:v>
                </c:pt>
                <c:pt idx="146">
                  <c:v>2.122711837497905</c:v>
                </c:pt>
                <c:pt idx="147">
                  <c:v>2.1241349201345403</c:v>
                </c:pt>
                <c:pt idx="148">
                  <c:v>2.1157841773135795</c:v>
                </c:pt>
                <c:pt idx="149">
                  <c:v>2.0989773557208204</c:v>
                </c:pt>
                <c:pt idx="150">
                  <c:v>2.099832178397179</c:v>
                </c:pt>
                <c:pt idx="151">
                  <c:v>2.099832178397179</c:v>
                </c:pt>
                <c:pt idx="152">
                  <c:v>2.0913755061781369</c:v>
                </c:pt>
                <c:pt idx="153">
                  <c:v>2.0840238258510264</c:v>
                </c:pt>
                <c:pt idx="154">
                  <c:v>2.0669297046941093</c:v>
                </c:pt>
                <c:pt idx="155">
                  <c:v>2.0583275408953283</c:v>
                </c:pt>
                <c:pt idx="156">
                  <c:v>2.042153619987876</c:v>
                </c:pt>
                <c:pt idx="157">
                  <c:v>2.042153619987876</c:v>
                </c:pt>
                <c:pt idx="158">
                  <c:v>2.0334390092499648</c:v>
                </c:pt>
                <c:pt idx="159">
                  <c:v>2.024686260050367</c:v>
                </c:pt>
                <c:pt idx="160">
                  <c:v>2.0170385478063695</c:v>
                </c:pt>
                <c:pt idx="161">
                  <c:v>2.0082085113881356</c:v>
                </c:pt>
                <c:pt idx="162">
                  <c:v>1.9993393172524043</c:v>
                </c:pt>
                <c:pt idx="163">
                  <c:v>2.0004841370683377</c:v>
                </c:pt>
                <c:pt idx="164">
                  <c:v>1.9915754363695772</c:v>
                </c:pt>
                <c:pt idx="165">
                  <c:v>1.9736380964040565</c:v>
                </c:pt>
                <c:pt idx="166">
                  <c:v>1.956971295648062</c:v>
                </c:pt>
                <c:pt idx="167">
                  <c:v>1.956971295648062</c:v>
                </c:pt>
                <c:pt idx="168">
                  <c:v>1.966041605978845</c:v>
                </c:pt>
                <c:pt idx="169">
                  <c:v>1.9601308559384303</c:v>
                </c:pt>
                <c:pt idx="170">
                  <c:v>1.9510192228667091</c:v>
                </c:pt>
                <c:pt idx="171">
                  <c:v>1.9510192228667091</c:v>
                </c:pt>
                <c:pt idx="172">
                  <c:v>1.9524586933902055</c:v>
                </c:pt>
                <c:pt idx="173">
                  <c:v>1.943305359335382</c:v>
                </c:pt>
                <c:pt idx="174">
                  <c:v>1.934109940838123</c:v>
                </c:pt>
                <c:pt idx="175">
                  <c:v>1.9248720491255338</c:v>
                </c:pt>
                <c:pt idx="176">
                  <c:v>1.9077088093871422</c:v>
                </c:pt>
                <c:pt idx="177">
                  <c:v>1.8983411107622887</c:v>
                </c:pt>
                <c:pt idx="178">
                  <c:v>1.9077088093871422</c:v>
                </c:pt>
                <c:pt idx="179">
                  <c:v>1.8895065292806894</c:v>
                </c:pt>
                <c:pt idx="180">
                  <c:v>1.8800502468887978</c:v>
                </c:pt>
                <c:pt idx="181">
                  <c:v>1.8800502468887978</c:v>
                </c:pt>
                <c:pt idx="182">
                  <c:v>1.8826517803693532</c:v>
                </c:pt>
                <c:pt idx="183">
                  <c:v>1.8731505748521573</c:v>
                </c:pt>
                <c:pt idx="184">
                  <c:v>1.8540116728198561</c:v>
                </c:pt>
                <c:pt idx="185">
                  <c:v>1.8548803568183079</c:v>
                </c:pt>
                <c:pt idx="186">
                  <c:v>1.8452417839464099</c:v>
                </c:pt>
                <c:pt idx="187">
                  <c:v>1.835556534994834</c:v>
                </c:pt>
                <c:pt idx="188">
                  <c:v>1.8261138847978033</c:v>
                </c:pt>
                <c:pt idx="189">
                  <c:v>1.835846264100149</c:v>
                </c:pt>
                <c:pt idx="190">
                  <c:v>1.8261138847978033</c:v>
                </c:pt>
                <c:pt idx="191">
                  <c:v>1.8163339142094195</c:v>
                </c:pt>
                <c:pt idx="192">
                  <c:v>1.7875734339535578</c:v>
                </c:pt>
                <c:pt idx="193">
                  <c:v>1.7875734339535578</c:v>
                </c:pt>
                <c:pt idx="194">
                  <c:v>1.7775983509314797</c:v>
                </c:pt>
                <c:pt idx="195">
                  <c:v>1.7684437156202162</c:v>
                </c:pt>
                <c:pt idx="196">
                  <c:v>1.7684437156202162</c:v>
                </c:pt>
                <c:pt idx="197">
                  <c:v>1.7784687992673045</c:v>
                </c:pt>
                <c:pt idx="198">
                  <c:v>1.7896056599396613</c:v>
                </c:pt>
                <c:pt idx="199">
                  <c:v>1.7796305769175829</c:v>
                </c:pt>
                <c:pt idx="200">
                  <c:v>1.7696054932704945</c:v>
                </c:pt>
                <c:pt idx="201">
                  <c:v>1.7400973821372301</c:v>
                </c:pt>
                <c:pt idx="202">
                  <c:v>1.7502755211521728</c:v>
                </c:pt>
                <c:pt idx="203">
                  <c:v>1.7502755211521728</c:v>
                </c:pt>
                <c:pt idx="204">
                  <c:v>1.7415527746223325</c:v>
                </c:pt>
                <c:pt idx="205">
                  <c:v>1.7313225732887916</c:v>
                </c:pt>
                <c:pt idx="206">
                  <c:v>1.7313225732887916</c:v>
                </c:pt>
                <c:pt idx="207">
                  <c:v>1.7210397742879544</c:v>
                </c:pt>
                <c:pt idx="208">
                  <c:v>1.7216225248871968</c:v>
                </c:pt>
                <c:pt idx="209">
                  <c:v>1.7008969508161038</c:v>
                </c:pt>
                <c:pt idx="210">
                  <c:v>1.7112865845703114</c:v>
                </c:pt>
                <c:pt idx="211">
                  <c:v>1.701188453514568</c:v>
                </c:pt>
                <c:pt idx="212">
                  <c:v>1.701188453514568</c:v>
                </c:pt>
                <c:pt idx="213">
                  <c:v>1.6907445655522644</c:v>
                </c:pt>
                <c:pt idx="214">
                  <c:v>1.6808291142222924</c:v>
                </c:pt>
                <c:pt idx="215">
                  <c:v>1.6808291142222924</c:v>
                </c:pt>
                <c:pt idx="216">
                  <c:v>1.6702750000206046</c:v>
                </c:pt>
                <c:pt idx="217">
                  <c:v>1.6814127150558975</c:v>
                </c:pt>
                <c:pt idx="218">
                  <c:v>1.6814127150558975</c:v>
                </c:pt>
                <c:pt idx="219">
                  <c:v>1.6814127150558975</c:v>
                </c:pt>
                <c:pt idx="220">
                  <c:v>1.6611245367487033</c:v>
                </c:pt>
                <c:pt idx="221">
                  <c:v>1.6504578447979783</c:v>
                </c:pt>
                <c:pt idx="222">
                  <c:v>1.6504578447979783</c:v>
                </c:pt>
                <c:pt idx="223">
                  <c:v>1.6504578447979783</c:v>
                </c:pt>
                <c:pt idx="224">
                  <c:v>1.6513346532715127</c:v>
                </c:pt>
                <c:pt idx="225">
                  <c:v>1.629829069718989</c:v>
                </c:pt>
                <c:pt idx="226">
                  <c:v>1.640610766988742</c:v>
                </c:pt>
                <c:pt idx="227">
                  <c:v>1.6309993448671791</c:v>
                </c:pt>
                <c:pt idx="228">
                  <c:v>1.6309993448671791</c:v>
                </c:pt>
                <c:pt idx="229">
                  <c:v>1.6201592099285009</c:v>
                </c:pt>
                <c:pt idx="230">
                  <c:v>1.6104316466902626</c:v>
                </c:pt>
                <c:pt idx="231">
                  <c:v>1.6213308562253921</c:v>
                </c:pt>
                <c:pt idx="232">
                  <c:v>1.642952688433823</c:v>
                </c:pt>
                <c:pt idx="233">
                  <c:v>1.6336374821146733</c:v>
                </c:pt>
                <c:pt idx="234">
                  <c:v>1.6336374821146733</c:v>
                </c:pt>
                <c:pt idx="235">
                  <c:v>1.6227973471759951</c:v>
                </c:pt>
                <c:pt idx="236">
                  <c:v>1.6233845462533489</c:v>
                </c:pt>
                <c:pt idx="237">
                  <c:v>1.6342246811920271</c:v>
                </c:pt>
                <c:pt idx="238">
                  <c:v>1.6233845462533489</c:v>
                </c:pt>
                <c:pt idx="239">
                  <c:v>1.6015264051889682</c:v>
                </c:pt>
                <c:pt idx="240">
                  <c:v>1.6136607702946364</c:v>
                </c:pt>
                <c:pt idx="241">
                  <c:v>1.6136607702946364</c:v>
                </c:pt>
                <c:pt idx="242">
                  <c:v>1.6027018387653853</c:v>
                </c:pt>
                <c:pt idx="243">
                  <c:v>1.591682527143446</c:v>
                </c:pt>
                <c:pt idx="244">
                  <c:v>1.591682527143446</c:v>
                </c:pt>
                <c:pt idx="245">
                  <c:v>1.6027018387653853</c:v>
                </c:pt>
                <c:pt idx="246">
                  <c:v>1.6032900740764648</c:v>
                </c:pt>
                <c:pt idx="247">
                  <c:v>1.5922707624545258</c:v>
                </c:pt>
                <c:pt idx="248">
                  <c:v>1.5588438005070444</c:v>
                </c:pt>
                <c:pt idx="249">
                  <c:v>1.5703425590686226</c:v>
                </c:pt>
                <c:pt idx="250">
                  <c:v>1.5591380479712833</c:v>
                </c:pt>
                <c:pt idx="251">
                  <c:v>1.5591380479712833</c:v>
                </c:pt>
                <c:pt idx="252">
                  <c:v>1.5600213102103639</c:v>
                </c:pt>
                <c:pt idx="253">
                  <c:v>1.5712258213077035</c:v>
                </c:pt>
                <c:pt idx="254">
                  <c:v>1.5600213102103639</c:v>
                </c:pt>
                <c:pt idx="255">
                  <c:v>1.5487536747738522</c:v>
                </c:pt>
                <c:pt idx="256">
                  <c:v>1.5493429499824185</c:v>
                </c:pt>
                <c:pt idx="257">
                  <c:v>1.5606105854189303</c:v>
                </c:pt>
                <c:pt idx="258">
                  <c:v>1.5493429499824185</c:v>
                </c:pt>
                <c:pt idx="259">
                  <c:v>1.5388960393207975</c:v>
                </c:pt>
                <c:pt idx="260">
                  <c:v>1.5388960393207975</c:v>
                </c:pt>
                <c:pt idx="261">
                  <c:v>1.5388960393207975</c:v>
                </c:pt>
                <c:pt idx="262">
                  <c:v>1.5277950258589672</c:v>
                </c:pt>
                <c:pt idx="263">
                  <c:v>1.5277950258589672</c:v>
                </c:pt>
                <c:pt idx="264">
                  <c:v>1.5391910680882424</c:v>
                </c:pt>
                <c:pt idx="265">
                  <c:v>1.5283853446482467</c:v>
                </c:pt>
                <c:pt idx="266">
                  <c:v>1.5169239952302769</c:v>
                </c:pt>
                <c:pt idx="267">
                  <c:v>1.5283853446482467</c:v>
                </c:pt>
                <c:pt idx="268">
                  <c:v>1.5292714767399047</c:v>
                </c:pt>
                <c:pt idx="269">
                  <c:v>1.5178101273219349</c:v>
                </c:pt>
                <c:pt idx="270">
                  <c:v>1.4946884825197824</c:v>
                </c:pt>
                <c:pt idx="271">
                  <c:v>1.5178101273219349</c:v>
                </c:pt>
                <c:pt idx="272">
                  <c:v>1.5071696359066622</c:v>
                </c:pt>
                <c:pt idx="273">
                  <c:v>1.5071696359066622</c:v>
                </c:pt>
                <c:pt idx="274">
                  <c:v>1.5071696359066622</c:v>
                </c:pt>
                <c:pt idx="275">
                  <c:v>1.4958712147688318</c:v>
                </c:pt>
                <c:pt idx="276">
                  <c:v>1.4958712147688318</c:v>
                </c:pt>
                <c:pt idx="277">
                  <c:v>1.4958712147688318</c:v>
                </c:pt>
                <c:pt idx="278">
                  <c:v>1.4964631058781508</c:v>
                </c:pt>
                <c:pt idx="279">
                  <c:v>1.4964631058781508</c:v>
                </c:pt>
                <c:pt idx="280">
                  <c:v>1.4848012652565645</c:v>
                </c:pt>
                <c:pt idx="281">
                  <c:v>1.4865790435025639</c:v>
                </c:pt>
                <c:pt idx="282">
                  <c:v>1.4865790435025639</c:v>
                </c:pt>
                <c:pt idx="283">
                  <c:v>1.4865790435025639</c:v>
                </c:pt>
                <c:pt idx="284">
                  <c:v>1.4757388803129612</c:v>
                </c:pt>
                <c:pt idx="285">
                  <c:v>1.4874691192177574</c:v>
                </c:pt>
                <c:pt idx="286">
                  <c:v>1.4639394360585845</c:v>
                </c:pt>
                <c:pt idx="287">
                  <c:v>1.4874691192177574</c:v>
                </c:pt>
                <c:pt idx="288">
                  <c:v>1.4645332603040626</c:v>
                </c:pt>
                <c:pt idx="289">
                  <c:v>1.4645332603040626</c:v>
                </c:pt>
                <c:pt idx="290">
                  <c:v>1.4763327045584393</c:v>
                </c:pt>
                <c:pt idx="291">
                  <c:v>1.4775214119792441</c:v>
                </c:pt>
                <c:pt idx="292">
                  <c:v>1.4419121627122307</c:v>
                </c:pt>
                <c:pt idx="293">
                  <c:v>1.4538524966852384</c:v>
                </c:pt>
                <c:pt idx="294">
                  <c:v>1.4547449554682581</c:v>
                </c:pt>
                <c:pt idx="295">
                  <c:v>1.4547449554682581</c:v>
                </c:pt>
                <c:pt idx="296">
                  <c:v>1.4428046214952506</c:v>
                </c:pt>
                <c:pt idx="297">
                  <c:v>1.4428046214952506</c:v>
                </c:pt>
                <c:pt idx="298">
                  <c:v>1.4428046214952506</c:v>
                </c:pt>
                <c:pt idx="299">
                  <c:v>1.4307925733748268</c:v>
                </c:pt>
                <c:pt idx="300">
                  <c:v>1.4307925733748268</c:v>
                </c:pt>
                <c:pt idx="301">
                  <c:v>1.4307925733748268</c:v>
                </c:pt>
                <c:pt idx="302">
                  <c:v>1.4307925733748268</c:v>
                </c:pt>
                <c:pt idx="303">
                  <c:v>1.4187079444629016</c:v>
                </c:pt>
                <c:pt idx="304">
                  <c:v>1.4310902367197842</c:v>
                </c:pt>
                <c:pt idx="305">
                  <c:v>1.4310902367197842</c:v>
                </c:pt>
                <c:pt idx="306">
                  <c:v>1.419005607807859</c:v>
                </c:pt>
                <c:pt idx="307">
                  <c:v>1.4193033597826652</c:v>
                </c:pt>
                <c:pt idx="308">
                  <c:v>1.4193033597826652</c:v>
                </c:pt>
                <c:pt idx="309">
                  <c:v>1.4193033597826652</c:v>
                </c:pt>
                <c:pt idx="310">
                  <c:v>1.4074431082873524</c:v>
                </c:pt>
                <c:pt idx="311">
                  <c:v>1.4196012004401166</c:v>
                </c:pt>
                <c:pt idx="312">
                  <c:v>1.4074431082873524</c:v>
                </c:pt>
                <c:pt idx="313">
                  <c:v>1.4089336436654136</c:v>
                </c:pt>
                <c:pt idx="314">
                  <c:v>1.3967011896305415</c:v>
                </c:pt>
                <c:pt idx="315">
                  <c:v>1.3967011896305415</c:v>
                </c:pt>
                <c:pt idx="316">
                  <c:v>1.4219871246259472</c:v>
                </c:pt>
                <c:pt idx="317">
                  <c:v>1.4098290324731828</c:v>
                </c:pt>
                <c:pt idx="318">
                  <c:v>1.4098290324731828</c:v>
                </c:pt>
                <c:pt idx="319">
                  <c:v>1.3975965784383106</c:v>
                </c:pt>
                <c:pt idx="320">
                  <c:v>1.3975965784383106</c:v>
                </c:pt>
                <c:pt idx="321">
                  <c:v>1.4098290324731828</c:v>
                </c:pt>
                <c:pt idx="322">
                  <c:v>1.3975965784383106</c:v>
                </c:pt>
                <c:pt idx="323">
                  <c:v>1.3978952196231491</c:v>
                </c:pt>
                <c:pt idx="324">
                  <c:v>1.3855874884743922</c:v>
                </c:pt>
                <c:pt idx="325">
                  <c:v>1.4101276736580213</c:v>
                </c:pt>
                <c:pt idx="326">
                  <c:v>1.3981939500211886</c:v>
                </c:pt>
                <c:pt idx="327">
                  <c:v>1.3981939500211886</c:v>
                </c:pt>
                <c:pt idx="328">
                  <c:v>1.3858862188724317</c:v>
                </c:pt>
                <c:pt idx="329">
                  <c:v>1.3864839475214294</c:v>
                </c:pt>
                <c:pt idx="330">
                  <c:v>1.3741000070255878</c:v>
                </c:pt>
                <c:pt idx="331">
                  <c:v>1.3741000070255878</c:v>
                </c:pt>
                <c:pt idx="332">
                  <c:v>1.3870820336636596</c:v>
                </c:pt>
                <c:pt idx="333">
                  <c:v>1.3870820336636596</c:v>
                </c:pt>
                <c:pt idx="334">
                  <c:v>1.3746980931678179</c:v>
                </c:pt>
                <c:pt idx="335">
                  <c:v>1.3746980931678179</c:v>
                </c:pt>
                <c:pt idx="336">
                  <c:v>1.3752965372311601</c:v>
                </c:pt>
                <c:pt idx="337">
                  <c:v>1.3628354377298875</c:v>
                </c:pt>
                <c:pt idx="338">
                  <c:v>1.3628354377298875</c:v>
                </c:pt>
                <c:pt idx="339">
                  <c:v>1.3758953396442621</c:v>
                </c:pt>
                <c:pt idx="340">
                  <c:v>1.3758953396442621</c:v>
                </c:pt>
                <c:pt idx="341">
                  <c:v>1.3634342401429898</c:v>
                </c:pt>
                <c:pt idx="342">
                  <c:v>1.3758953396442621</c:v>
                </c:pt>
                <c:pt idx="343">
                  <c:v>1.3758953396442621</c:v>
                </c:pt>
                <c:pt idx="344">
                  <c:v>1.3634342401429898</c:v>
                </c:pt>
                <c:pt idx="345">
                  <c:v>1.3514941753080794</c:v>
                </c:pt>
                <c:pt idx="346">
                  <c:v>1.3640334013352702</c:v>
                </c:pt>
                <c:pt idx="347">
                  <c:v>1.3514941753080794</c:v>
                </c:pt>
                <c:pt idx="348">
                  <c:v>1.3643331166080066</c:v>
                </c:pt>
                <c:pt idx="349">
                  <c:v>1.351793890580816</c:v>
                </c:pt>
                <c:pt idx="350">
                  <c:v>1.351793890580816</c:v>
                </c:pt>
                <c:pt idx="351">
                  <c:v>1.3391755521942865</c:v>
                </c:pt>
                <c:pt idx="352">
                  <c:v>1.3397752523621849</c:v>
                </c:pt>
                <c:pt idx="353">
                  <c:v>1.3397752523621849</c:v>
                </c:pt>
                <c:pt idx="354">
                  <c:v>1.3397752523621849</c:v>
                </c:pt>
                <c:pt idx="355">
                  <c:v>1.3403753123861908</c:v>
                </c:pt>
                <c:pt idx="356">
                  <c:v>1.3403753123861908</c:v>
                </c:pt>
                <c:pt idx="357">
                  <c:v>1.3403753123861908</c:v>
                </c:pt>
                <c:pt idx="358">
                  <c:v>1.3148972608313312</c:v>
                </c:pt>
                <c:pt idx="359">
                  <c:v>1.3403753123861908</c:v>
                </c:pt>
                <c:pt idx="360">
                  <c:v>1.3276768570288731</c:v>
                </c:pt>
                <c:pt idx="361">
                  <c:v>1.3279770221219267</c:v>
                </c:pt>
                <c:pt idx="362">
                  <c:v>1.3279770221219267</c:v>
                </c:pt>
                <c:pt idx="363">
                  <c:v>1.3151974259243848</c:v>
                </c:pt>
                <c:pt idx="364">
                  <c:v>1.3282772773411169</c:v>
                </c:pt>
                <c:pt idx="365">
                  <c:v>1.3409757326984344</c:v>
                </c:pt>
                <c:pt idx="366">
                  <c:v>1.3282772773411169</c:v>
                </c:pt>
                <c:pt idx="367">
                  <c:v>1.3282772773411169</c:v>
                </c:pt>
                <c:pt idx="368">
                  <c:v>1.3282772773411169</c:v>
                </c:pt>
                <c:pt idx="369">
                  <c:v>1.3282772773411169</c:v>
                </c:pt>
                <c:pt idx="370">
                  <c:v>1.3282772773411169</c:v>
                </c:pt>
                <c:pt idx="371">
                  <c:v>1.3157980265430396</c:v>
                </c:pt>
                <c:pt idx="372">
                  <c:v>1.3157980265430396</c:v>
                </c:pt>
                <c:pt idx="373">
                  <c:v>1.3157980265430396</c:v>
                </c:pt>
                <c:pt idx="374">
                  <c:v>1.3170003110281099</c:v>
                </c:pt>
                <c:pt idx="375">
                  <c:v>1.3041385303675292</c:v>
                </c:pt>
                <c:pt idx="376">
                  <c:v>1.3041385303675292</c:v>
                </c:pt>
                <c:pt idx="377">
                  <c:v>1.2787658240492668</c:v>
                </c:pt>
                <c:pt idx="378">
                  <c:v>1.3047402151028895</c:v>
                </c:pt>
                <c:pt idx="379">
                  <c:v>1.3047402151028895</c:v>
                </c:pt>
                <c:pt idx="380">
                  <c:v>1.2917951860916541</c:v>
                </c:pt>
                <c:pt idx="381">
                  <c:v>1.2917951860916541</c:v>
                </c:pt>
                <c:pt idx="382">
                  <c:v>1.3047402151028895</c:v>
                </c:pt>
                <c:pt idx="383">
                  <c:v>1.3176019957634699</c:v>
                </c:pt>
                <c:pt idx="384">
                  <c:v>1.2787658240492668</c:v>
                </c:pt>
                <c:pt idx="385">
                  <c:v>1.2917951860916541</c:v>
                </c:pt>
                <c:pt idx="386">
                  <c:v>1.2787658240492668</c:v>
                </c:pt>
                <c:pt idx="387">
                  <c:v>1.3047402151028895</c:v>
                </c:pt>
                <c:pt idx="388">
                  <c:v>1.2787658240492668</c:v>
                </c:pt>
                <c:pt idx="389">
                  <c:v>1.2917951860916541</c:v>
                </c:pt>
                <c:pt idx="390">
                  <c:v>1.2917951860916541</c:v>
                </c:pt>
                <c:pt idx="391">
                  <c:v>1.2787658240492668</c:v>
                </c:pt>
                <c:pt idx="392">
                  <c:v>1.2787658240492668</c:v>
                </c:pt>
                <c:pt idx="393">
                  <c:v>1.2662530699347967</c:v>
                </c:pt>
                <c:pt idx="394">
                  <c:v>1.2662530699347967</c:v>
                </c:pt>
                <c:pt idx="395">
                  <c:v>1.2530517018720921</c:v>
                </c:pt>
                <c:pt idx="396">
                  <c:v>1.2536541115288642</c:v>
                </c:pt>
                <c:pt idx="397">
                  <c:v>1.2668554795915687</c:v>
                </c:pt>
                <c:pt idx="398">
                  <c:v>1.2668554795915687</c:v>
                </c:pt>
                <c:pt idx="399">
                  <c:v>1.2668554795915687</c:v>
                </c:pt>
                <c:pt idx="400">
                  <c:v>1.2536541115288642</c:v>
                </c:pt>
                <c:pt idx="401">
                  <c:v>1.2536541115288642</c:v>
                </c:pt>
                <c:pt idx="402">
                  <c:v>1.2403650260915273</c:v>
                </c:pt>
                <c:pt idx="403">
                  <c:v>1.2665542294010088</c:v>
                </c:pt>
                <c:pt idx="404">
                  <c:v>1.2533528613383045</c:v>
                </c:pt>
                <c:pt idx="405">
                  <c:v>1.2533528613383045</c:v>
                </c:pt>
                <c:pt idx="406">
                  <c:v>1.2533528613383045</c:v>
                </c:pt>
                <c:pt idx="407">
                  <c:v>1.2533528613383045</c:v>
                </c:pt>
                <c:pt idx="408">
                  <c:v>1.2533528613383045</c:v>
                </c:pt>
                <c:pt idx="409">
                  <c:v>1.2403650260915273</c:v>
                </c:pt>
                <c:pt idx="410">
                  <c:v>1.2135189854272459</c:v>
                </c:pt>
                <c:pt idx="411">
                  <c:v>1.2536541115288642</c:v>
                </c:pt>
                <c:pt idx="412">
                  <c:v>1.240666367061112</c:v>
                </c:pt>
                <c:pt idx="413">
                  <c:v>1.2272883907595187</c:v>
                </c:pt>
                <c:pt idx="414">
                  <c:v>1.2272883907595187</c:v>
                </c:pt>
                <c:pt idx="415">
                  <c:v>1.2272883907595187</c:v>
                </c:pt>
                <c:pt idx="416">
                  <c:v>1.2272883907595187</c:v>
                </c:pt>
                <c:pt idx="417">
                  <c:v>1.2272883907595187</c:v>
                </c:pt>
                <c:pt idx="418">
                  <c:v>1.2272883907595187</c:v>
                </c:pt>
                <c:pt idx="419">
                  <c:v>1.2272883907595187</c:v>
                </c:pt>
                <c:pt idx="420">
                  <c:v>1.2272883907595187</c:v>
                </c:pt>
                <c:pt idx="421">
                  <c:v>1.2272883907595187</c:v>
                </c:pt>
                <c:pt idx="422">
                  <c:v>1.2275898225628563</c:v>
                </c:pt>
                <c:pt idx="423">
                  <c:v>1.2275898225628563</c:v>
                </c:pt>
                <c:pt idx="424">
                  <c:v>1.214121758200168</c:v>
                </c:pt>
                <c:pt idx="425">
                  <c:v>1.2144232808920348</c:v>
                </c:pt>
                <c:pt idx="426">
                  <c:v>1.2008639069212772</c:v>
                </c:pt>
                <c:pt idx="427">
                  <c:v>1.2008639069212772</c:v>
                </c:pt>
                <c:pt idx="428">
                  <c:v>1.2147248945272573</c:v>
                </c:pt>
                <c:pt idx="429">
                  <c:v>1.2147248945272573</c:v>
                </c:pt>
                <c:pt idx="430">
                  <c:v>1.2011655205564999</c:v>
                </c:pt>
                <c:pt idx="431">
                  <c:v>1.1875135904157001</c:v>
                </c:pt>
                <c:pt idx="432">
                  <c:v>1.1881170907357672</c:v>
                </c:pt>
                <c:pt idx="433">
                  <c:v>1.1881170907357672</c:v>
                </c:pt>
                <c:pt idx="434">
                  <c:v>1.2017690208765668</c:v>
                </c:pt>
                <c:pt idx="435">
                  <c:v>1.2023728856292166</c:v>
                </c:pt>
                <c:pt idx="436">
                  <c:v>1.2294003239626623</c:v>
                </c:pt>
                <c:pt idx="437">
                  <c:v>1.2023728856292166</c:v>
                </c:pt>
                <c:pt idx="438">
                  <c:v>1.2159322595999742</c:v>
                </c:pt>
                <c:pt idx="439">
                  <c:v>1.2023728856292166</c:v>
                </c:pt>
                <c:pt idx="440">
                  <c:v>1.2023728856292166</c:v>
                </c:pt>
                <c:pt idx="441">
                  <c:v>1.2294003239626623</c:v>
                </c:pt>
                <c:pt idx="442">
                  <c:v>1.2159322595999742</c:v>
                </c:pt>
                <c:pt idx="443">
                  <c:v>1.2159322595999742</c:v>
                </c:pt>
                <c:pt idx="444">
                  <c:v>1.2300045535882966</c:v>
                </c:pt>
                <c:pt idx="445">
                  <c:v>1.2165364892256083</c:v>
                </c:pt>
                <c:pt idx="446">
                  <c:v>1.2029771152548507</c:v>
                </c:pt>
                <c:pt idx="447">
                  <c:v>1.1893251851140512</c:v>
                </c:pt>
                <c:pt idx="448">
                  <c:v>1.2032793670328807</c:v>
                </c:pt>
                <c:pt idx="449">
                  <c:v>1.1896274368920812</c:v>
                </c:pt>
                <c:pt idx="450">
                  <c:v>1.2168387410036383</c:v>
                </c:pt>
                <c:pt idx="451">
                  <c:v>1.2032793670328807</c:v>
                </c:pt>
                <c:pt idx="452">
                  <c:v>1.2032793670328807</c:v>
                </c:pt>
                <c:pt idx="453">
                  <c:v>1.2168387410036383</c:v>
                </c:pt>
                <c:pt idx="454">
                  <c:v>1.2035817101946702</c:v>
                </c:pt>
                <c:pt idx="455">
                  <c:v>1.1899297800538704</c:v>
                </c:pt>
                <c:pt idx="456">
                  <c:v>1.2171410841654275</c:v>
                </c:pt>
                <c:pt idx="457">
                  <c:v>1.1761840214783461</c:v>
                </c:pt>
                <c:pt idx="458">
                  <c:v>1.2035817101946702</c:v>
                </c:pt>
                <c:pt idx="459">
                  <c:v>1.1761840214783461</c:v>
                </c:pt>
                <c:pt idx="460">
                  <c:v>1.1484057971570123</c:v>
                </c:pt>
                <c:pt idx="461">
                  <c:v>1.2171410841654275</c:v>
                </c:pt>
                <c:pt idx="462">
                  <c:v>1.1761840214783461</c:v>
                </c:pt>
                <c:pt idx="463">
                  <c:v>1.1761840214783461</c:v>
                </c:pt>
                <c:pt idx="464">
                  <c:v>1.1764864560791695</c:v>
                </c:pt>
                <c:pt idx="465">
                  <c:v>1.1764864560791695</c:v>
                </c:pt>
                <c:pt idx="466">
                  <c:v>1.1902322146546938</c:v>
                </c:pt>
                <c:pt idx="467">
                  <c:v>1.1493133754979363</c:v>
                </c:pt>
                <c:pt idx="468">
                  <c:v>1.1632507141301229</c:v>
                </c:pt>
                <c:pt idx="469">
                  <c:v>1.1770915998192704</c:v>
                </c:pt>
                <c:pt idx="470">
                  <c:v>1.1638562242909181</c:v>
                </c:pt>
                <c:pt idx="471">
                  <c:v>1.1638562242909181</c:v>
                </c:pt>
                <c:pt idx="472">
                  <c:v>1.1499188856587319</c:v>
                </c:pt>
                <c:pt idx="473">
                  <c:v>1.1641591169177985</c:v>
                </c:pt>
                <c:pt idx="474">
                  <c:v>1.1917457611824702</c:v>
                </c:pt>
                <c:pt idx="475">
                  <c:v>1.1641591169177985</c:v>
                </c:pt>
                <c:pt idx="476">
                  <c:v>1.1786060632315576</c:v>
                </c:pt>
                <c:pt idx="477">
                  <c:v>1.1786060632315576</c:v>
                </c:pt>
                <c:pt idx="478">
                  <c:v>1.1647651775424102</c:v>
                </c:pt>
                <c:pt idx="479">
                  <c:v>1.1647651775424102</c:v>
                </c:pt>
                <c:pt idx="480">
                  <c:v>1.165068345651447</c:v>
                </c:pt>
                <c:pt idx="481">
                  <c:v>1.165068345651447</c:v>
                </c:pt>
                <c:pt idx="482">
                  <c:v>1.165068345651447</c:v>
                </c:pt>
                <c:pt idx="483">
                  <c:v>1.1511310070192606</c:v>
                </c:pt>
                <c:pt idx="484">
                  <c:v>1.1511310070192606</c:v>
                </c:pt>
                <c:pt idx="485">
                  <c:v>1.165068345651447</c:v>
                </c:pt>
                <c:pt idx="486">
                  <c:v>1.165068345651447</c:v>
                </c:pt>
                <c:pt idx="487">
                  <c:v>1.1511310070192606</c:v>
                </c:pt>
                <c:pt idx="488">
                  <c:v>1.165068345651447</c:v>
                </c:pt>
                <c:pt idx="489">
                  <c:v>1.166281938033406</c:v>
                </c:pt>
                <c:pt idx="490">
                  <c:v>1.1523445994012196</c:v>
                </c:pt>
                <c:pt idx="491">
                  <c:v>1.1523445994012196</c:v>
                </c:pt>
                <c:pt idx="492">
                  <c:v>1.1389168030245513</c:v>
                </c:pt>
                <c:pt idx="493">
                  <c:v>1.1389168030245513</c:v>
                </c:pt>
                <c:pt idx="494">
                  <c:v>1.166889286974031</c:v>
                </c:pt>
                <c:pt idx="495">
                  <c:v>1.1389168030245513</c:v>
                </c:pt>
                <c:pt idx="496">
                  <c:v>1.166889286974031</c:v>
                </c:pt>
                <c:pt idx="497">
                  <c:v>1.1529519483418447</c:v>
                </c:pt>
                <c:pt idx="498">
                  <c:v>1.1529519483418447</c:v>
                </c:pt>
                <c:pt idx="499">
                  <c:v>1.1256941841862698</c:v>
                </c:pt>
                <c:pt idx="500">
                  <c:v>1.1538636639497482</c:v>
                </c:pt>
                <c:pt idx="501">
                  <c:v>1.1538636639497482</c:v>
                </c:pt>
                <c:pt idx="502">
                  <c:v>1.1684092751067721</c:v>
                </c:pt>
                <c:pt idx="503">
                  <c:v>1.1544719364745857</c:v>
                </c:pt>
                <c:pt idx="504">
                  <c:v>1.1263024567111073</c:v>
                </c:pt>
                <c:pt idx="505">
                  <c:v>1.1272155598030078</c:v>
                </c:pt>
                <c:pt idx="506">
                  <c:v>1.1129806242652804</c:v>
                </c:pt>
                <c:pt idx="507">
                  <c:v>1.1272155598030078</c:v>
                </c:pt>
                <c:pt idx="508">
                  <c:v>1.1135898231875629</c:v>
                </c:pt>
                <c:pt idx="509">
                  <c:v>1.1419590931714756</c:v>
                </c:pt>
                <c:pt idx="510">
                  <c:v>1.1559942384887689</c:v>
                </c:pt>
                <c:pt idx="511">
                  <c:v>1.1419590931714756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20736"/>
        <c:axId val="74022272"/>
      </c:scatterChart>
      <c:valAx>
        <c:axId val="74020736"/>
        <c:scaling>
          <c:orientation val="minMax"/>
          <c:max val="3"/>
        </c:scaling>
        <c:delete val="0"/>
        <c:axPos val="b"/>
        <c:majorGridlines/>
        <c:minorGridlines/>
        <c:numFmt formatCode="0.00" sourceLinked="1"/>
        <c:majorTickMark val="out"/>
        <c:minorTickMark val="none"/>
        <c:tickLblPos val="nextTo"/>
        <c:crossAx val="74022272"/>
        <c:crosses val="autoZero"/>
        <c:crossBetween val="midCat"/>
      </c:valAx>
      <c:valAx>
        <c:axId val="74022272"/>
        <c:scaling>
          <c:orientation val="minMax"/>
          <c:min val="1"/>
        </c:scaling>
        <c:delete val="0"/>
        <c:axPos val="l"/>
        <c:majorGridlines/>
        <c:minorGridlines/>
        <c:numFmt formatCode="0.000" sourceLinked="1"/>
        <c:majorTickMark val="out"/>
        <c:minorTickMark val="none"/>
        <c:tickLblPos val="nextTo"/>
        <c:crossAx val="74020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0</xdr:row>
      <xdr:rowOff>0</xdr:rowOff>
    </xdr:from>
    <xdr:to>
      <xdr:col>21</xdr:col>
      <xdr:colOff>600075</xdr:colOff>
      <xdr:row>27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247650</xdr:colOff>
      <xdr:row>19</xdr:row>
      <xdr:rowOff>57150</xdr:rowOff>
    </xdr:from>
    <xdr:to>
      <xdr:col>22</xdr:col>
      <xdr:colOff>200025</xdr:colOff>
      <xdr:row>24</xdr:row>
      <xdr:rowOff>180976</xdr:rowOff>
    </xdr:to>
    <xdr:cxnSp macro="">
      <xdr:nvCxnSpPr>
        <xdr:cNvPr id="4" name="Прямая соединительная линия 3"/>
        <xdr:cNvCxnSpPr/>
      </xdr:nvCxnSpPr>
      <xdr:spPr>
        <a:xfrm flipH="1" flipV="1">
          <a:off x="10925175" y="3676650"/>
          <a:ext cx="3000375" cy="1076326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142875</xdr:colOff>
      <xdr:row>1</xdr:row>
      <xdr:rowOff>104775</xdr:rowOff>
    </xdr:from>
    <xdr:to>
      <xdr:col>22</xdr:col>
      <xdr:colOff>342901</xdr:colOff>
      <xdr:row>20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104775</xdr:colOff>
      <xdr:row>21</xdr:row>
      <xdr:rowOff>104775</xdr:rowOff>
    </xdr:from>
    <xdr:to>
      <xdr:col>22</xdr:col>
      <xdr:colOff>409575</xdr:colOff>
      <xdr:row>41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609599</xdr:colOff>
      <xdr:row>1</xdr:row>
      <xdr:rowOff>190499</xdr:rowOff>
    </xdr:from>
    <xdr:to>
      <xdr:col>23</xdr:col>
      <xdr:colOff>104774</xdr:colOff>
      <xdr:row>24</xdr:row>
      <xdr:rowOff>152400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0.34923</cdr:x>
      <cdr:y>0.66228</cdr:y>
    </cdr:from>
    <cdr:to>
      <cdr:x>0.99659</cdr:x>
      <cdr:y>0.87719</cdr:y>
    </cdr:to>
    <cdr:cxnSp macro="">
      <cdr:nvCxnSpPr>
        <cdr:cNvPr id="3" name="Прямая соединительная линия 2"/>
        <cdr:cNvCxnSpPr/>
      </cdr:nvCxnSpPr>
      <cdr:spPr>
        <a:xfrm xmlns:a="http://schemas.openxmlformats.org/drawingml/2006/main">
          <a:off x="1952626" y="2876551"/>
          <a:ext cx="3619500" cy="93345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1"/>
  <sheetViews>
    <sheetView topLeftCell="C9" workbookViewId="0">
      <selection sqref="A1:K1048576"/>
    </sheetView>
  </sheetViews>
  <sheetFormatPr defaultRowHeight="15" x14ac:dyDescent="0.25"/>
  <cols>
    <col min="1" max="2" width="9.140625" style="4"/>
    <col min="8" max="8" width="13.85546875" customWidth="1"/>
    <col min="11" max="11" width="9.140625" style="3"/>
  </cols>
  <sheetData>
    <row r="1" spans="1:11" x14ac:dyDescent="0.25">
      <c r="E1" s="1"/>
      <c r="F1" s="1"/>
      <c r="G1" s="1"/>
      <c r="H1" s="1"/>
    </row>
    <row r="3" spans="1:11" x14ac:dyDescent="0.25">
      <c r="A3" s="4" t="s">
        <v>0</v>
      </c>
    </row>
    <row r="5" spans="1:11" x14ac:dyDescent="0.25">
      <c r="A5" s="4" t="s">
        <v>1</v>
      </c>
    </row>
    <row r="6" spans="1:11" x14ac:dyDescent="0.25">
      <c r="H6" t="s">
        <v>2</v>
      </c>
    </row>
    <row r="7" spans="1:11" x14ac:dyDescent="0.25">
      <c r="A7" s="4" t="s">
        <v>3</v>
      </c>
      <c r="H7" t="s">
        <v>524</v>
      </c>
    </row>
    <row r="8" spans="1:11" x14ac:dyDescent="0.25">
      <c r="A8" s="4" t="s">
        <v>4</v>
      </c>
      <c r="C8" t="s">
        <v>5</v>
      </c>
      <c r="E8" t="s">
        <v>6</v>
      </c>
      <c r="G8" t="s">
        <v>7</v>
      </c>
      <c r="H8" t="s">
        <v>8</v>
      </c>
      <c r="J8" t="s">
        <v>528</v>
      </c>
      <c r="K8" t="s">
        <v>527</v>
      </c>
    </row>
    <row r="9" spans="1:11" x14ac:dyDescent="0.25">
      <c r="C9" t="s">
        <v>9</v>
      </c>
      <c r="E9" t="s">
        <v>523</v>
      </c>
      <c r="H9" t="s">
        <v>10</v>
      </c>
    </row>
    <row r="10" spans="1:11" x14ac:dyDescent="0.25">
      <c r="A10" s="4" t="s">
        <v>11</v>
      </c>
      <c r="B10" s="4">
        <v>1292</v>
      </c>
      <c r="C10">
        <f>B10/200</f>
        <v>6.46</v>
      </c>
      <c r="D10">
        <f>273+E10</f>
        <v>377.9</v>
      </c>
      <c r="E10">
        <v>104.9</v>
      </c>
      <c r="G10">
        <f>D10</f>
        <v>377.9</v>
      </c>
      <c r="H10" s="2">
        <f>1.77*B10/142</f>
        <v>16.104507042253523</v>
      </c>
      <c r="J10" s="2">
        <f>1000/G10</f>
        <v>2.6462026991267531</v>
      </c>
      <c r="K10" s="3">
        <f>LN(H10*H10)</f>
        <v>5.5581983466540485</v>
      </c>
    </row>
    <row r="11" spans="1:11" x14ac:dyDescent="0.25">
      <c r="A11" s="4" t="s">
        <v>12</v>
      </c>
      <c r="B11" s="4">
        <v>1268</v>
      </c>
      <c r="C11">
        <f t="shared" ref="C11:C74" si="0">B11/200</f>
        <v>6.34</v>
      </c>
      <c r="D11">
        <f t="shared" ref="D11:D74" si="1">273+E11</f>
        <v>377.9</v>
      </c>
      <c r="E11">
        <v>104.9</v>
      </c>
      <c r="G11">
        <f t="shared" ref="G11:G74" si="2">D11</f>
        <v>377.9</v>
      </c>
      <c r="H11" s="2">
        <f t="shared" ref="H11:H74" si="3">1.77*B11/142</f>
        <v>15.805352112676058</v>
      </c>
      <c r="J11" s="2">
        <f t="shared" ref="J11:J74" si="4">1000/G11</f>
        <v>2.6462026991267531</v>
      </c>
      <c r="K11" s="3">
        <f t="shared" ref="K11:K74" si="5">LN(H11*H11)</f>
        <v>5.5206972479632963</v>
      </c>
    </row>
    <row r="12" spans="1:11" x14ac:dyDescent="0.25">
      <c r="A12" s="4" t="s">
        <v>13</v>
      </c>
      <c r="B12" s="4">
        <v>1242</v>
      </c>
      <c r="C12">
        <f t="shared" si="0"/>
        <v>6.21</v>
      </c>
      <c r="D12">
        <f t="shared" si="1"/>
        <v>377.9</v>
      </c>
      <c r="E12">
        <v>104.9</v>
      </c>
      <c r="G12">
        <f t="shared" si="2"/>
        <v>377.9</v>
      </c>
      <c r="H12" s="2">
        <f t="shared" si="3"/>
        <v>15.481267605633803</v>
      </c>
      <c r="J12" s="2">
        <f t="shared" si="4"/>
        <v>2.6462026991267531</v>
      </c>
      <c r="K12" s="3">
        <f t="shared" si="5"/>
        <v>5.4792615029558025</v>
      </c>
    </row>
    <row r="13" spans="1:11" x14ac:dyDescent="0.25">
      <c r="A13" s="4" t="s">
        <v>14</v>
      </c>
      <c r="B13" s="4">
        <v>1219</v>
      </c>
      <c r="C13">
        <f t="shared" si="0"/>
        <v>6.0949999999999998</v>
      </c>
      <c r="D13">
        <f t="shared" si="1"/>
        <v>377.4</v>
      </c>
      <c r="E13">
        <v>104.4</v>
      </c>
      <c r="G13">
        <f t="shared" si="2"/>
        <v>377.4</v>
      </c>
      <c r="H13" s="2">
        <f t="shared" si="3"/>
        <v>15.194577464788733</v>
      </c>
      <c r="J13" s="2">
        <f t="shared" si="4"/>
        <v>2.6497085320614735</v>
      </c>
      <c r="K13" s="3">
        <f t="shared" si="5"/>
        <v>5.4418772369314974</v>
      </c>
    </row>
    <row r="14" spans="1:11" x14ac:dyDescent="0.25">
      <c r="A14" s="4" t="s">
        <v>15</v>
      </c>
      <c r="B14" s="4">
        <v>1197</v>
      </c>
      <c r="C14">
        <f t="shared" si="0"/>
        <v>5.9850000000000003</v>
      </c>
      <c r="D14">
        <f t="shared" si="1"/>
        <v>377.4</v>
      </c>
      <c r="E14">
        <v>104.4</v>
      </c>
      <c r="G14">
        <f t="shared" si="2"/>
        <v>377.4</v>
      </c>
      <c r="H14" s="2">
        <f t="shared" si="3"/>
        <v>14.920352112676056</v>
      </c>
      <c r="J14" s="2">
        <f t="shared" si="4"/>
        <v>2.6497085320614735</v>
      </c>
      <c r="K14" s="3">
        <f t="shared" si="5"/>
        <v>5.4054523890849007</v>
      </c>
    </row>
    <row r="15" spans="1:11" x14ac:dyDescent="0.25">
      <c r="A15" s="4" t="s">
        <v>16</v>
      </c>
      <c r="B15" s="4">
        <v>1175</v>
      </c>
      <c r="C15">
        <f t="shared" si="0"/>
        <v>5.875</v>
      </c>
      <c r="D15">
        <f t="shared" si="1"/>
        <v>377.4</v>
      </c>
      <c r="E15">
        <v>104.4</v>
      </c>
      <c r="G15">
        <f t="shared" si="2"/>
        <v>377.4</v>
      </c>
      <c r="H15" s="2">
        <f t="shared" si="3"/>
        <v>14.64612676056338</v>
      </c>
      <c r="J15" s="2">
        <f t="shared" si="4"/>
        <v>2.6497085320614735</v>
      </c>
      <c r="K15" s="3">
        <f t="shared" si="5"/>
        <v>5.368351831125473</v>
      </c>
    </row>
    <row r="16" spans="1:11" x14ac:dyDescent="0.25">
      <c r="A16" s="4" t="s">
        <v>17</v>
      </c>
      <c r="B16" s="4">
        <v>1152</v>
      </c>
      <c r="C16">
        <f t="shared" si="0"/>
        <v>5.76</v>
      </c>
      <c r="D16">
        <f t="shared" si="1"/>
        <v>377</v>
      </c>
      <c r="E16">
        <v>104</v>
      </c>
      <c r="G16">
        <f t="shared" si="2"/>
        <v>377</v>
      </c>
      <c r="H16" s="2">
        <f t="shared" si="3"/>
        <v>14.359436619718309</v>
      </c>
      <c r="J16" s="2">
        <f t="shared" si="4"/>
        <v>2.6525198938992043</v>
      </c>
      <c r="K16" s="3">
        <f t="shared" si="5"/>
        <v>5.328814660480627</v>
      </c>
    </row>
    <row r="17" spans="1:16" x14ac:dyDescent="0.25">
      <c r="A17" s="4" t="s">
        <v>18</v>
      </c>
      <c r="B17" s="4">
        <v>1130</v>
      </c>
      <c r="C17">
        <f t="shared" si="0"/>
        <v>5.65</v>
      </c>
      <c r="D17">
        <f t="shared" si="1"/>
        <v>377</v>
      </c>
      <c r="E17">
        <v>104</v>
      </c>
      <c r="G17">
        <f t="shared" si="2"/>
        <v>377</v>
      </c>
      <c r="H17" s="2">
        <f t="shared" si="3"/>
        <v>14.085211267605633</v>
      </c>
      <c r="J17" s="2">
        <f t="shared" si="4"/>
        <v>2.6525198938992043</v>
      </c>
      <c r="K17" s="3">
        <f t="shared" si="5"/>
        <v>5.2902508013817267</v>
      </c>
    </row>
    <row r="18" spans="1:16" x14ac:dyDescent="0.25">
      <c r="A18" s="4" t="s">
        <v>19</v>
      </c>
      <c r="B18" s="4">
        <v>1111</v>
      </c>
      <c r="C18">
        <f t="shared" si="0"/>
        <v>5.5549999999999997</v>
      </c>
      <c r="D18">
        <f t="shared" si="1"/>
        <v>377</v>
      </c>
      <c r="E18">
        <v>104</v>
      </c>
      <c r="G18">
        <f t="shared" si="2"/>
        <v>377</v>
      </c>
      <c r="H18" s="2">
        <f t="shared" si="3"/>
        <v>13.84838028169014</v>
      </c>
      <c r="J18" s="2">
        <f t="shared" si="4"/>
        <v>2.6525198938992043</v>
      </c>
      <c r="K18" s="3">
        <f t="shared" si="5"/>
        <v>5.2563365572482139</v>
      </c>
    </row>
    <row r="19" spans="1:16" x14ac:dyDescent="0.25">
      <c r="A19" s="4" t="s">
        <v>20</v>
      </c>
      <c r="B19" s="4">
        <v>1090</v>
      </c>
      <c r="C19">
        <f t="shared" si="0"/>
        <v>5.45</v>
      </c>
      <c r="D19">
        <f t="shared" si="1"/>
        <v>376.4</v>
      </c>
      <c r="E19">
        <v>103.4</v>
      </c>
      <c r="G19">
        <f t="shared" si="2"/>
        <v>376.4</v>
      </c>
      <c r="H19" s="2">
        <f t="shared" si="3"/>
        <v>13.586619718309858</v>
      </c>
      <c r="J19" s="2">
        <f t="shared" si="4"/>
        <v>2.656748140276302</v>
      </c>
      <c r="K19" s="3">
        <f t="shared" si="5"/>
        <v>5.2181709284153328</v>
      </c>
    </row>
    <row r="20" spans="1:16" x14ac:dyDescent="0.25">
      <c r="A20" s="4" t="s">
        <v>21</v>
      </c>
      <c r="B20" s="4">
        <v>1071</v>
      </c>
      <c r="C20">
        <f t="shared" si="0"/>
        <v>5.3550000000000004</v>
      </c>
      <c r="D20">
        <f t="shared" si="1"/>
        <v>376.4</v>
      </c>
      <c r="E20">
        <v>103.4</v>
      </c>
      <c r="G20">
        <f t="shared" si="2"/>
        <v>376.4</v>
      </c>
      <c r="H20" s="2">
        <f t="shared" si="3"/>
        <v>13.349788732394368</v>
      </c>
      <c r="J20" s="2">
        <f t="shared" si="4"/>
        <v>2.656748140276302</v>
      </c>
      <c r="K20" s="3">
        <f t="shared" si="5"/>
        <v>5.1830011188644516</v>
      </c>
    </row>
    <row r="21" spans="1:16" x14ac:dyDescent="0.25">
      <c r="A21" s="4" t="s">
        <v>22</v>
      </c>
      <c r="B21" s="4">
        <v>1053</v>
      </c>
      <c r="C21">
        <f t="shared" si="0"/>
        <v>5.2649999999999997</v>
      </c>
      <c r="D21">
        <f t="shared" si="1"/>
        <v>376.4</v>
      </c>
      <c r="E21">
        <v>103.4</v>
      </c>
      <c r="G21">
        <f t="shared" si="2"/>
        <v>376.4</v>
      </c>
      <c r="H21" s="2">
        <f t="shared" si="3"/>
        <v>13.125422535211268</v>
      </c>
      <c r="J21" s="2">
        <f t="shared" si="4"/>
        <v>2.656748140276302</v>
      </c>
      <c r="K21" s="3">
        <f t="shared" si="5"/>
        <v>5.149102002236905</v>
      </c>
    </row>
    <row r="22" spans="1:16" x14ac:dyDescent="0.25">
      <c r="A22" s="4" t="s">
        <v>23</v>
      </c>
      <c r="B22" s="4">
        <v>1043</v>
      </c>
      <c r="C22">
        <f t="shared" si="0"/>
        <v>5.2149999999999999</v>
      </c>
      <c r="D22">
        <f t="shared" si="1"/>
        <v>375.8</v>
      </c>
      <c r="E22">
        <v>102.8</v>
      </c>
      <c r="G22">
        <f t="shared" si="2"/>
        <v>375.8</v>
      </c>
      <c r="H22" s="2">
        <f t="shared" si="3"/>
        <v>13.000774647887324</v>
      </c>
      <c r="J22" s="2">
        <f t="shared" si="4"/>
        <v>2.6609898882384244</v>
      </c>
      <c r="K22" s="3">
        <f t="shared" si="5"/>
        <v>5.1300178879704985</v>
      </c>
    </row>
    <row r="23" spans="1:16" x14ac:dyDescent="0.25">
      <c r="A23" s="4" t="s">
        <v>24</v>
      </c>
      <c r="B23" s="4">
        <v>1030</v>
      </c>
      <c r="C23">
        <f t="shared" si="0"/>
        <v>5.15</v>
      </c>
      <c r="D23">
        <f t="shared" si="1"/>
        <v>375.8</v>
      </c>
      <c r="E23">
        <v>102.8</v>
      </c>
      <c r="G23">
        <f t="shared" si="2"/>
        <v>375.8</v>
      </c>
      <c r="H23" s="2">
        <f t="shared" si="3"/>
        <v>12.838732394366197</v>
      </c>
      <c r="J23" s="2">
        <f t="shared" si="4"/>
        <v>2.6609898882384244</v>
      </c>
      <c r="K23" s="3">
        <f t="shared" si="5"/>
        <v>5.1049331404163167</v>
      </c>
    </row>
    <row r="24" spans="1:16" x14ac:dyDescent="0.25">
      <c r="A24" s="4" t="s">
        <v>25</v>
      </c>
      <c r="B24" s="4">
        <v>1012</v>
      </c>
      <c r="C24">
        <f t="shared" si="0"/>
        <v>5.0599999999999996</v>
      </c>
      <c r="D24">
        <f t="shared" si="1"/>
        <v>375.8</v>
      </c>
      <c r="E24">
        <v>102.8</v>
      </c>
      <c r="G24">
        <f t="shared" si="2"/>
        <v>375.8</v>
      </c>
      <c r="H24" s="2">
        <f t="shared" si="3"/>
        <v>12.614366197183099</v>
      </c>
      <c r="J24" s="2">
        <f t="shared" si="4"/>
        <v>2.6609898882384244</v>
      </c>
      <c r="K24" s="3">
        <f t="shared" si="5"/>
        <v>5.0696726776637755</v>
      </c>
    </row>
    <row r="25" spans="1:16" x14ac:dyDescent="0.25">
      <c r="A25" s="4" t="s">
        <v>26</v>
      </c>
      <c r="B25" s="4">
        <v>993</v>
      </c>
      <c r="C25">
        <f t="shared" si="0"/>
        <v>4.9649999999999999</v>
      </c>
      <c r="D25">
        <f t="shared" si="1"/>
        <v>375.8</v>
      </c>
      <c r="E25">
        <v>102.8</v>
      </c>
      <c r="G25">
        <f t="shared" si="2"/>
        <v>375.8</v>
      </c>
      <c r="H25" s="2">
        <f t="shared" si="3"/>
        <v>12.377535211267606</v>
      </c>
      <c r="J25" s="2">
        <f t="shared" si="4"/>
        <v>2.6609898882384244</v>
      </c>
      <c r="K25" s="3">
        <f t="shared" si="5"/>
        <v>5.031766306059299</v>
      </c>
    </row>
    <row r="26" spans="1:16" x14ac:dyDescent="0.25">
      <c r="A26" s="4" t="s">
        <v>27</v>
      </c>
      <c r="B26" s="4">
        <v>975</v>
      </c>
      <c r="C26">
        <f t="shared" si="0"/>
        <v>4.875</v>
      </c>
      <c r="D26">
        <f t="shared" si="1"/>
        <v>375.2</v>
      </c>
      <c r="E26">
        <v>102.2</v>
      </c>
      <c r="G26">
        <f t="shared" si="2"/>
        <v>375.2</v>
      </c>
      <c r="H26" s="2">
        <f t="shared" si="3"/>
        <v>12.153169014084508</v>
      </c>
      <c r="J26" s="2">
        <f t="shared" si="4"/>
        <v>2.6652452025586353</v>
      </c>
      <c r="K26" s="3">
        <f t="shared" si="5"/>
        <v>4.9951799199646487</v>
      </c>
    </row>
    <row r="27" spans="1:16" x14ac:dyDescent="0.25">
      <c r="A27" s="4" t="s">
        <v>28</v>
      </c>
      <c r="B27" s="4">
        <v>958</v>
      </c>
      <c r="C27">
        <f t="shared" si="0"/>
        <v>4.79</v>
      </c>
      <c r="D27">
        <f t="shared" si="1"/>
        <v>375.2</v>
      </c>
      <c r="E27">
        <v>102.2</v>
      </c>
      <c r="G27">
        <f t="shared" si="2"/>
        <v>375.2</v>
      </c>
      <c r="H27" s="2">
        <f t="shared" si="3"/>
        <v>11.941267605633803</v>
      </c>
      <c r="J27" s="2">
        <f t="shared" si="4"/>
        <v>2.6652452025586353</v>
      </c>
      <c r="K27" s="3">
        <f t="shared" si="5"/>
        <v>4.9600005339106756</v>
      </c>
    </row>
    <row r="28" spans="1:16" x14ac:dyDescent="0.25">
      <c r="A28" s="4" t="s">
        <v>29</v>
      </c>
      <c r="B28" s="4">
        <v>941</v>
      </c>
      <c r="C28">
        <f t="shared" si="0"/>
        <v>4.7050000000000001</v>
      </c>
      <c r="D28">
        <f t="shared" si="1"/>
        <v>375.2</v>
      </c>
      <c r="E28">
        <v>102.2</v>
      </c>
      <c r="G28">
        <f t="shared" si="2"/>
        <v>375.2</v>
      </c>
      <c r="H28" s="2">
        <f t="shared" si="3"/>
        <v>11.729366197183099</v>
      </c>
      <c r="J28" s="2">
        <f t="shared" si="4"/>
        <v>2.6652452025586353</v>
      </c>
      <c r="K28" s="3">
        <f t="shared" si="5"/>
        <v>4.9241912571397135</v>
      </c>
    </row>
    <row r="29" spans="1:16" x14ac:dyDescent="0.25">
      <c r="A29" s="4" t="s">
        <v>30</v>
      </c>
      <c r="B29" s="4">
        <v>925</v>
      </c>
      <c r="C29">
        <f t="shared" si="0"/>
        <v>4.625</v>
      </c>
      <c r="D29">
        <f t="shared" si="1"/>
        <v>374.8</v>
      </c>
      <c r="E29">
        <v>101.8</v>
      </c>
      <c r="G29">
        <f t="shared" si="2"/>
        <v>374.8</v>
      </c>
      <c r="H29" s="2">
        <f t="shared" si="3"/>
        <v>11.529929577464788</v>
      </c>
      <c r="J29" s="2">
        <f t="shared" si="4"/>
        <v>2.6680896478121663</v>
      </c>
      <c r="K29" s="3">
        <f t="shared" si="5"/>
        <v>4.8898924529938039</v>
      </c>
    </row>
    <row r="30" spans="1:16" x14ac:dyDescent="0.25">
      <c r="A30" s="4" t="s">
        <v>31</v>
      </c>
      <c r="B30" s="4">
        <v>910</v>
      </c>
      <c r="C30">
        <f t="shared" si="0"/>
        <v>4.55</v>
      </c>
      <c r="D30">
        <f t="shared" si="1"/>
        <v>374.8</v>
      </c>
      <c r="E30">
        <v>101.8</v>
      </c>
      <c r="G30">
        <f t="shared" si="2"/>
        <v>374.8</v>
      </c>
      <c r="H30" s="2">
        <f t="shared" si="3"/>
        <v>11.342957746478874</v>
      </c>
      <c r="J30" s="2">
        <f t="shared" si="4"/>
        <v>2.6680896478121663</v>
      </c>
      <c r="K30" s="3">
        <f t="shared" si="5"/>
        <v>4.8571941769907454</v>
      </c>
      <c r="O30" s="1" t="s">
        <v>525</v>
      </c>
      <c r="P30" s="1"/>
    </row>
    <row r="31" spans="1:16" x14ac:dyDescent="0.25">
      <c r="A31" s="4" t="s">
        <v>32</v>
      </c>
      <c r="B31" s="4">
        <v>879</v>
      </c>
      <c r="C31">
        <f t="shared" si="0"/>
        <v>4.3949999999999996</v>
      </c>
      <c r="D31">
        <f t="shared" si="1"/>
        <v>374.8</v>
      </c>
      <c r="E31">
        <v>101.8</v>
      </c>
      <c r="G31">
        <f t="shared" si="2"/>
        <v>374.8</v>
      </c>
      <c r="H31" s="2">
        <f t="shared" si="3"/>
        <v>10.956549295774648</v>
      </c>
      <c r="J31" s="2">
        <f t="shared" si="4"/>
        <v>2.6680896478121663</v>
      </c>
      <c r="K31" s="3">
        <f t="shared" si="5"/>
        <v>4.7878747733393086</v>
      </c>
      <c r="O31" s="1" t="s">
        <v>526</v>
      </c>
      <c r="P31" s="1"/>
    </row>
    <row r="32" spans="1:16" x14ac:dyDescent="0.25">
      <c r="A32" s="4" t="s">
        <v>33</v>
      </c>
      <c r="B32" s="4">
        <v>865</v>
      </c>
      <c r="C32">
        <f t="shared" si="0"/>
        <v>4.3250000000000002</v>
      </c>
      <c r="D32">
        <f t="shared" si="1"/>
        <v>374.3</v>
      </c>
      <c r="E32">
        <v>101.3</v>
      </c>
      <c r="G32">
        <f t="shared" si="2"/>
        <v>374.3</v>
      </c>
      <c r="H32" s="2">
        <f t="shared" si="3"/>
        <v>10.782042253521126</v>
      </c>
      <c r="J32" s="2">
        <f t="shared" si="4"/>
        <v>2.6716537536735236</v>
      </c>
      <c r="K32" s="3">
        <f t="shared" si="5"/>
        <v>4.7557639918327128</v>
      </c>
    </row>
    <row r="33" spans="1:11" x14ac:dyDescent="0.25">
      <c r="A33" s="4" t="s">
        <v>34</v>
      </c>
      <c r="B33" s="4">
        <v>850</v>
      </c>
      <c r="C33">
        <f t="shared" si="0"/>
        <v>4.25</v>
      </c>
      <c r="D33">
        <f t="shared" si="1"/>
        <v>374.3</v>
      </c>
      <c r="E33">
        <v>101.3</v>
      </c>
      <c r="G33">
        <f t="shared" si="2"/>
        <v>374.3</v>
      </c>
      <c r="H33" s="2">
        <f t="shared" si="3"/>
        <v>10.595070422535212</v>
      </c>
      <c r="J33" s="2">
        <f t="shared" si="4"/>
        <v>2.6716537536735236</v>
      </c>
      <c r="K33" s="3">
        <f t="shared" si="5"/>
        <v>4.7207776769376784</v>
      </c>
    </row>
    <row r="34" spans="1:11" x14ac:dyDescent="0.25">
      <c r="A34" s="4" t="s">
        <v>35</v>
      </c>
      <c r="B34" s="4">
        <v>836</v>
      </c>
      <c r="C34">
        <f t="shared" si="0"/>
        <v>4.18</v>
      </c>
      <c r="D34">
        <f t="shared" si="1"/>
        <v>374.3</v>
      </c>
      <c r="E34">
        <v>101.3</v>
      </c>
      <c r="G34">
        <f t="shared" si="2"/>
        <v>374.3</v>
      </c>
      <c r="H34" s="2">
        <f t="shared" si="3"/>
        <v>10.42056338028169</v>
      </c>
      <c r="J34" s="2">
        <f t="shared" si="4"/>
        <v>2.6716537536735236</v>
      </c>
      <c r="K34" s="3">
        <f t="shared" si="5"/>
        <v>4.6875622041383576</v>
      </c>
    </row>
    <row r="35" spans="1:11" x14ac:dyDescent="0.25">
      <c r="A35" s="4" t="s">
        <v>36</v>
      </c>
      <c r="B35" s="4">
        <v>822</v>
      </c>
      <c r="C35">
        <f t="shared" si="0"/>
        <v>4.1100000000000003</v>
      </c>
      <c r="D35">
        <f t="shared" si="1"/>
        <v>373.7</v>
      </c>
      <c r="E35">
        <v>100.7</v>
      </c>
      <c r="G35">
        <f t="shared" si="2"/>
        <v>373.7</v>
      </c>
      <c r="H35" s="2">
        <f t="shared" si="3"/>
        <v>10.24605633802817</v>
      </c>
      <c r="J35" s="2">
        <f t="shared" si="4"/>
        <v>2.675943270002676</v>
      </c>
      <c r="K35" s="3">
        <f t="shared" si="5"/>
        <v>4.6537857680813142</v>
      </c>
    </row>
    <row r="36" spans="1:11" x14ac:dyDescent="0.25">
      <c r="A36" s="4" t="s">
        <v>37</v>
      </c>
      <c r="B36" s="4">
        <v>807</v>
      </c>
      <c r="C36">
        <f t="shared" si="0"/>
        <v>4.0350000000000001</v>
      </c>
      <c r="D36">
        <f t="shared" si="1"/>
        <v>373.7</v>
      </c>
      <c r="E36">
        <v>100.7</v>
      </c>
      <c r="G36">
        <f t="shared" si="2"/>
        <v>373.7</v>
      </c>
      <c r="H36" s="2">
        <f t="shared" si="3"/>
        <v>10.059084507042254</v>
      </c>
      <c r="J36" s="2">
        <f t="shared" si="4"/>
        <v>2.675943270002676</v>
      </c>
      <c r="K36" s="3">
        <f t="shared" si="5"/>
        <v>4.6169523145088514</v>
      </c>
    </row>
    <row r="37" spans="1:11" x14ac:dyDescent="0.25">
      <c r="A37" s="4" t="s">
        <v>38</v>
      </c>
      <c r="B37" s="4">
        <v>795</v>
      </c>
      <c r="C37">
        <f t="shared" si="0"/>
        <v>3.9750000000000001</v>
      </c>
      <c r="D37">
        <f t="shared" si="1"/>
        <v>373.7</v>
      </c>
      <c r="E37">
        <v>100.7</v>
      </c>
      <c r="G37">
        <f t="shared" si="2"/>
        <v>373.7</v>
      </c>
      <c r="H37" s="2">
        <f t="shared" si="3"/>
        <v>9.9095070422535212</v>
      </c>
      <c r="J37" s="2">
        <f t="shared" si="4"/>
        <v>2.675943270002676</v>
      </c>
      <c r="K37" s="3">
        <f t="shared" si="5"/>
        <v>4.5869892072776182</v>
      </c>
    </row>
    <row r="38" spans="1:11" x14ac:dyDescent="0.25">
      <c r="A38" s="4" t="s">
        <v>39</v>
      </c>
      <c r="B38" s="4">
        <v>782</v>
      </c>
      <c r="C38">
        <f t="shared" si="0"/>
        <v>3.91</v>
      </c>
      <c r="D38">
        <f t="shared" si="1"/>
        <v>373</v>
      </c>
      <c r="E38">
        <v>100</v>
      </c>
      <c r="G38">
        <f t="shared" si="2"/>
        <v>373</v>
      </c>
      <c r="H38" s="2">
        <f t="shared" si="3"/>
        <v>9.7474647887323957</v>
      </c>
      <c r="J38" s="2">
        <f t="shared" si="4"/>
        <v>2.6809651474530831</v>
      </c>
      <c r="K38" s="3">
        <f t="shared" si="5"/>
        <v>4.5540144590595766</v>
      </c>
    </row>
    <row r="39" spans="1:11" x14ac:dyDescent="0.25">
      <c r="A39" s="4" t="s">
        <v>40</v>
      </c>
      <c r="B39" s="4">
        <v>770</v>
      </c>
      <c r="C39">
        <f t="shared" si="0"/>
        <v>3.85</v>
      </c>
      <c r="D39">
        <f t="shared" si="1"/>
        <v>373</v>
      </c>
      <c r="E39">
        <v>100</v>
      </c>
      <c r="G39">
        <f t="shared" si="2"/>
        <v>373</v>
      </c>
      <c r="H39" s="2">
        <f t="shared" si="3"/>
        <v>9.5978873239436631</v>
      </c>
      <c r="J39" s="2">
        <f t="shared" si="4"/>
        <v>2.6809651474530831</v>
      </c>
      <c r="K39" s="3">
        <f t="shared" si="5"/>
        <v>4.5230860076644133</v>
      </c>
    </row>
    <row r="40" spans="1:11" x14ac:dyDescent="0.25">
      <c r="A40" s="4" t="s">
        <v>41</v>
      </c>
      <c r="B40" s="4">
        <v>759</v>
      </c>
      <c r="C40">
        <f t="shared" si="0"/>
        <v>3.7949999999999999</v>
      </c>
      <c r="D40">
        <f t="shared" si="1"/>
        <v>373</v>
      </c>
      <c r="E40">
        <v>100</v>
      </c>
      <c r="G40">
        <f t="shared" si="2"/>
        <v>373</v>
      </c>
      <c r="H40" s="2">
        <f t="shared" si="3"/>
        <v>9.4607746478873249</v>
      </c>
      <c r="J40" s="2">
        <f t="shared" si="4"/>
        <v>2.6809651474530831</v>
      </c>
      <c r="K40" s="3">
        <f t="shared" si="5"/>
        <v>4.4943085327602139</v>
      </c>
    </row>
    <row r="41" spans="1:11" x14ac:dyDescent="0.25">
      <c r="A41" s="4" t="s">
        <v>42</v>
      </c>
      <c r="B41" s="4">
        <v>746</v>
      </c>
      <c r="C41">
        <f t="shared" si="0"/>
        <v>3.73</v>
      </c>
      <c r="D41">
        <f t="shared" si="1"/>
        <v>373</v>
      </c>
      <c r="E41">
        <v>100</v>
      </c>
      <c r="G41">
        <f t="shared" si="2"/>
        <v>373</v>
      </c>
      <c r="H41" s="2">
        <f t="shared" si="3"/>
        <v>9.2987323943661977</v>
      </c>
      <c r="J41" s="2">
        <f t="shared" si="4"/>
        <v>2.6809651474530831</v>
      </c>
      <c r="K41" s="3">
        <f t="shared" si="5"/>
        <v>4.4597561783764759</v>
      </c>
    </row>
    <row r="42" spans="1:11" x14ac:dyDescent="0.25">
      <c r="A42" s="4" t="s">
        <v>43</v>
      </c>
      <c r="B42" s="4">
        <v>734</v>
      </c>
      <c r="C42">
        <f t="shared" si="0"/>
        <v>3.67</v>
      </c>
      <c r="D42">
        <f t="shared" si="1"/>
        <v>372.3</v>
      </c>
      <c r="E42">
        <v>99.3</v>
      </c>
      <c r="G42">
        <f t="shared" si="2"/>
        <v>372.3</v>
      </c>
      <c r="H42" s="2">
        <f t="shared" si="3"/>
        <v>9.149154929577465</v>
      </c>
      <c r="J42" s="2">
        <f t="shared" si="4"/>
        <v>2.6860059092130002</v>
      </c>
      <c r="K42" s="3">
        <f t="shared" si="5"/>
        <v>4.4273230351979853</v>
      </c>
    </row>
    <row r="43" spans="1:11" x14ac:dyDescent="0.25">
      <c r="A43" s="4" t="s">
        <v>44</v>
      </c>
      <c r="B43" s="4">
        <v>722</v>
      </c>
      <c r="C43">
        <f t="shared" si="0"/>
        <v>3.61</v>
      </c>
      <c r="D43">
        <f t="shared" si="1"/>
        <v>372.3</v>
      </c>
      <c r="E43">
        <v>99.3</v>
      </c>
      <c r="G43">
        <f t="shared" si="2"/>
        <v>372.3</v>
      </c>
      <c r="H43" s="2">
        <f t="shared" si="3"/>
        <v>8.9995774647887323</v>
      </c>
      <c r="J43" s="2">
        <f t="shared" si="4"/>
        <v>2.6860059092130002</v>
      </c>
      <c r="K43" s="3">
        <f t="shared" si="5"/>
        <v>4.3943552557546068</v>
      </c>
    </row>
    <row r="44" spans="1:11" x14ac:dyDescent="0.25">
      <c r="A44" s="4" t="s">
        <v>45</v>
      </c>
      <c r="B44" s="4">
        <v>711</v>
      </c>
      <c r="C44">
        <f t="shared" si="0"/>
        <v>3.5550000000000002</v>
      </c>
      <c r="D44">
        <f t="shared" si="1"/>
        <v>372.3</v>
      </c>
      <c r="E44">
        <v>99.3</v>
      </c>
      <c r="G44">
        <f t="shared" si="2"/>
        <v>372.3</v>
      </c>
      <c r="H44" s="2">
        <f t="shared" si="3"/>
        <v>8.8624647887323942</v>
      </c>
      <c r="J44" s="2">
        <f t="shared" si="4"/>
        <v>2.6860059092130002</v>
      </c>
      <c r="K44" s="3">
        <f t="shared" si="5"/>
        <v>4.3636498375754362</v>
      </c>
    </row>
    <row r="45" spans="1:11" x14ac:dyDescent="0.25">
      <c r="A45" s="4" t="s">
        <v>46</v>
      </c>
      <c r="B45" s="4">
        <v>699</v>
      </c>
      <c r="C45">
        <f t="shared" si="0"/>
        <v>3.4950000000000001</v>
      </c>
      <c r="D45">
        <f t="shared" si="1"/>
        <v>371.7</v>
      </c>
      <c r="E45">
        <v>98.7</v>
      </c>
      <c r="G45">
        <f t="shared" si="2"/>
        <v>371.7</v>
      </c>
      <c r="H45" s="2">
        <f t="shared" si="3"/>
        <v>8.7128873239436615</v>
      </c>
      <c r="J45" s="2">
        <f t="shared" si="4"/>
        <v>2.6903416733925209</v>
      </c>
      <c r="K45" s="3">
        <f t="shared" si="5"/>
        <v>4.3296064624365744</v>
      </c>
    </row>
    <row r="46" spans="1:11" x14ac:dyDescent="0.25">
      <c r="A46" s="4" t="s">
        <v>47</v>
      </c>
      <c r="B46" s="4">
        <v>687</v>
      </c>
      <c r="C46">
        <f t="shared" si="0"/>
        <v>3.4350000000000001</v>
      </c>
      <c r="D46">
        <f t="shared" si="1"/>
        <v>371.7</v>
      </c>
      <c r="E46">
        <v>98.7</v>
      </c>
      <c r="G46">
        <f t="shared" si="2"/>
        <v>371.7</v>
      </c>
      <c r="H46" s="2">
        <f t="shared" si="3"/>
        <v>8.5633098591549288</v>
      </c>
      <c r="J46" s="2">
        <f t="shared" si="4"/>
        <v>2.6903416733925209</v>
      </c>
      <c r="K46" s="3">
        <f t="shared" si="5"/>
        <v>4.2949735624136522</v>
      </c>
    </row>
    <row r="47" spans="1:11" x14ac:dyDescent="0.25">
      <c r="A47" s="4" t="s">
        <v>48</v>
      </c>
      <c r="B47" s="4">
        <v>677</v>
      </c>
      <c r="C47">
        <f t="shared" si="0"/>
        <v>3.3849999999999998</v>
      </c>
      <c r="D47">
        <f t="shared" si="1"/>
        <v>371.7</v>
      </c>
      <c r="E47">
        <v>98.7</v>
      </c>
      <c r="G47">
        <f t="shared" si="2"/>
        <v>371.7</v>
      </c>
      <c r="H47" s="2">
        <f t="shared" si="3"/>
        <v>8.4386619718309852</v>
      </c>
      <c r="J47" s="2">
        <f t="shared" si="4"/>
        <v>2.6903416733925209</v>
      </c>
      <c r="K47" s="3">
        <f t="shared" si="5"/>
        <v>4.2656475237935041</v>
      </c>
    </row>
    <row r="48" spans="1:11" x14ac:dyDescent="0.25">
      <c r="A48" s="4" t="s">
        <v>49</v>
      </c>
      <c r="B48" s="4">
        <v>667</v>
      </c>
      <c r="C48">
        <f t="shared" si="0"/>
        <v>3.335</v>
      </c>
      <c r="D48">
        <f t="shared" si="1"/>
        <v>371.2</v>
      </c>
      <c r="E48">
        <v>98.2</v>
      </c>
      <c r="G48">
        <f t="shared" si="2"/>
        <v>371.2</v>
      </c>
      <c r="H48" s="2">
        <f t="shared" si="3"/>
        <v>8.3140140845070416</v>
      </c>
      <c r="J48" s="2">
        <f t="shared" si="4"/>
        <v>2.6939655172413794</v>
      </c>
      <c r="K48" s="3">
        <f t="shared" si="5"/>
        <v>4.2358850698002017</v>
      </c>
    </row>
    <row r="49" spans="1:11" x14ac:dyDescent="0.25">
      <c r="A49" s="4" t="s">
        <v>50</v>
      </c>
      <c r="B49" s="4">
        <v>658</v>
      </c>
      <c r="C49">
        <f t="shared" si="0"/>
        <v>3.29</v>
      </c>
      <c r="D49">
        <f t="shared" si="1"/>
        <v>371.2</v>
      </c>
      <c r="E49">
        <v>98.2</v>
      </c>
      <c r="G49">
        <f t="shared" si="2"/>
        <v>371.2</v>
      </c>
      <c r="H49" s="2">
        <f t="shared" si="3"/>
        <v>8.2018309859154943</v>
      </c>
      <c r="J49" s="2">
        <f t="shared" si="4"/>
        <v>2.6939655172413794</v>
      </c>
      <c r="K49" s="3">
        <f t="shared" si="5"/>
        <v>4.2087148406195887</v>
      </c>
    </row>
    <row r="50" spans="1:11" x14ac:dyDescent="0.25">
      <c r="A50" s="4" t="s">
        <v>51</v>
      </c>
      <c r="B50" s="4">
        <v>648</v>
      </c>
      <c r="C50">
        <f t="shared" si="0"/>
        <v>3.24</v>
      </c>
      <c r="D50">
        <f t="shared" si="1"/>
        <v>371.2</v>
      </c>
      <c r="E50">
        <v>98.2</v>
      </c>
      <c r="G50">
        <f t="shared" si="2"/>
        <v>371.2</v>
      </c>
      <c r="H50" s="2">
        <f t="shared" si="3"/>
        <v>8.0771830985915489</v>
      </c>
      <c r="J50" s="2">
        <f t="shared" si="4"/>
        <v>2.6939655172413794</v>
      </c>
      <c r="K50" s="3">
        <f t="shared" si="5"/>
        <v>4.178086370673503</v>
      </c>
    </row>
    <row r="51" spans="1:11" x14ac:dyDescent="0.25">
      <c r="A51" s="4" t="s">
        <v>52</v>
      </c>
      <c r="B51" s="4">
        <v>637</v>
      </c>
      <c r="C51">
        <f t="shared" si="0"/>
        <v>3.1850000000000001</v>
      </c>
      <c r="D51">
        <f t="shared" si="1"/>
        <v>370.6</v>
      </c>
      <c r="E51">
        <v>97.6</v>
      </c>
      <c r="G51">
        <f t="shared" si="2"/>
        <v>370.6</v>
      </c>
      <c r="H51" s="2">
        <f t="shared" si="3"/>
        <v>7.9400704225352117</v>
      </c>
      <c r="J51" s="2">
        <f t="shared" si="4"/>
        <v>2.698327037236913</v>
      </c>
      <c r="K51" s="3">
        <f t="shared" si="5"/>
        <v>4.1438442891132805</v>
      </c>
    </row>
    <row r="52" spans="1:11" x14ac:dyDescent="0.25">
      <c r="A52" s="4" t="s">
        <v>53</v>
      </c>
      <c r="B52" s="4">
        <v>628</v>
      </c>
      <c r="C52">
        <f t="shared" si="0"/>
        <v>3.14</v>
      </c>
      <c r="D52">
        <f t="shared" si="1"/>
        <v>370.6</v>
      </c>
      <c r="E52">
        <v>97.6</v>
      </c>
      <c r="G52">
        <f t="shared" si="2"/>
        <v>370.6</v>
      </c>
      <c r="H52" s="2">
        <f t="shared" si="3"/>
        <v>7.8278873239436617</v>
      </c>
      <c r="J52" s="2">
        <f t="shared" si="4"/>
        <v>2.698327037236913</v>
      </c>
      <c r="K52" s="3">
        <f t="shared" si="5"/>
        <v>4.1153853109053511</v>
      </c>
    </row>
    <row r="53" spans="1:11" x14ac:dyDescent="0.25">
      <c r="A53" s="4" t="s">
        <v>54</v>
      </c>
      <c r="B53" s="4">
        <v>618</v>
      </c>
      <c r="C53">
        <f t="shared" si="0"/>
        <v>3.09</v>
      </c>
      <c r="D53">
        <f t="shared" si="1"/>
        <v>370.6</v>
      </c>
      <c r="E53">
        <v>97.6</v>
      </c>
      <c r="G53">
        <f t="shared" si="2"/>
        <v>370.6</v>
      </c>
      <c r="H53" s="2">
        <f t="shared" si="3"/>
        <v>7.7032394366197172</v>
      </c>
      <c r="J53" s="2">
        <f t="shared" si="4"/>
        <v>2.698327037236913</v>
      </c>
      <c r="K53" s="3">
        <f t="shared" si="5"/>
        <v>4.0832818928843357</v>
      </c>
    </row>
    <row r="54" spans="1:11" x14ac:dyDescent="0.25">
      <c r="A54" s="4" t="s">
        <v>55</v>
      </c>
      <c r="B54" s="4">
        <v>610</v>
      </c>
      <c r="C54">
        <f t="shared" si="0"/>
        <v>3.05</v>
      </c>
      <c r="D54">
        <f t="shared" si="1"/>
        <v>370.1</v>
      </c>
      <c r="E54">
        <v>97.1</v>
      </c>
      <c r="G54">
        <f t="shared" si="2"/>
        <v>370.1</v>
      </c>
      <c r="H54" s="2">
        <f t="shared" si="3"/>
        <v>7.6035211267605636</v>
      </c>
      <c r="J54" s="2">
        <f t="shared" si="4"/>
        <v>2.7019724398811129</v>
      </c>
      <c r="K54" s="3">
        <f t="shared" si="5"/>
        <v>4.0572228923036677</v>
      </c>
    </row>
    <row r="55" spans="1:11" x14ac:dyDescent="0.25">
      <c r="A55" s="4" t="s">
        <v>56</v>
      </c>
      <c r="B55" s="4">
        <v>600</v>
      </c>
      <c r="C55">
        <f t="shared" si="0"/>
        <v>3</v>
      </c>
      <c r="D55">
        <f t="shared" si="1"/>
        <v>370.1</v>
      </c>
      <c r="E55">
        <v>97.1</v>
      </c>
      <c r="G55">
        <f t="shared" si="2"/>
        <v>370.1</v>
      </c>
      <c r="H55" s="2">
        <f t="shared" si="3"/>
        <v>7.47887323943662</v>
      </c>
      <c r="J55" s="2">
        <f t="shared" si="4"/>
        <v>2.7019724398811129</v>
      </c>
      <c r="K55" s="3">
        <f t="shared" si="5"/>
        <v>4.0241642884012467</v>
      </c>
    </row>
    <row r="56" spans="1:11" x14ac:dyDescent="0.25">
      <c r="A56" s="4" t="s">
        <v>57</v>
      </c>
      <c r="B56" s="4">
        <v>591</v>
      </c>
      <c r="C56">
        <f t="shared" si="0"/>
        <v>2.9550000000000001</v>
      </c>
      <c r="D56">
        <f t="shared" si="1"/>
        <v>370.1</v>
      </c>
      <c r="E56">
        <v>97.1</v>
      </c>
      <c r="G56">
        <f t="shared" si="2"/>
        <v>370.1</v>
      </c>
      <c r="H56" s="2">
        <f t="shared" si="3"/>
        <v>7.36669014084507</v>
      </c>
      <c r="J56" s="2">
        <f t="shared" si="4"/>
        <v>2.7019724398811129</v>
      </c>
      <c r="K56" s="3">
        <f t="shared" si="5"/>
        <v>3.9939370127811502</v>
      </c>
    </row>
    <row r="57" spans="1:11" x14ac:dyDescent="0.25">
      <c r="A57" s="4" t="s">
        <v>58</v>
      </c>
      <c r="B57" s="4">
        <v>582</v>
      </c>
      <c r="C57">
        <f t="shared" si="0"/>
        <v>2.91</v>
      </c>
      <c r="D57">
        <f t="shared" si="1"/>
        <v>370.1</v>
      </c>
      <c r="E57">
        <v>97.1</v>
      </c>
      <c r="G57">
        <f t="shared" si="2"/>
        <v>370.1</v>
      </c>
      <c r="H57" s="2">
        <f t="shared" si="3"/>
        <v>7.2545070422535218</v>
      </c>
      <c r="J57" s="2">
        <f t="shared" si="4"/>
        <v>2.7019724398811129</v>
      </c>
      <c r="K57" s="3">
        <f t="shared" si="5"/>
        <v>3.9632458734318297</v>
      </c>
    </row>
    <row r="58" spans="1:11" x14ac:dyDescent="0.25">
      <c r="A58" s="4" t="s">
        <v>59</v>
      </c>
      <c r="B58" s="4">
        <v>574</v>
      </c>
      <c r="C58">
        <f t="shared" si="0"/>
        <v>2.87</v>
      </c>
      <c r="D58">
        <f t="shared" si="1"/>
        <v>369.5</v>
      </c>
      <c r="E58">
        <v>96.5</v>
      </c>
      <c r="G58">
        <f t="shared" si="2"/>
        <v>369.5</v>
      </c>
      <c r="H58" s="2">
        <f t="shared" si="3"/>
        <v>7.1547887323943664</v>
      </c>
      <c r="J58" s="2">
        <f t="shared" si="4"/>
        <v>2.7063599458728009</v>
      </c>
      <c r="K58" s="3">
        <f t="shared" si="5"/>
        <v>3.9355637706080873</v>
      </c>
    </row>
    <row r="59" spans="1:11" x14ac:dyDescent="0.25">
      <c r="A59" s="4" t="s">
        <v>60</v>
      </c>
      <c r="B59" s="4">
        <v>565</v>
      </c>
      <c r="C59">
        <f t="shared" si="0"/>
        <v>2.8250000000000002</v>
      </c>
      <c r="D59">
        <f t="shared" si="1"/>
        <v>369.5</v>
      </c>
      <c r="E59">
        <v>96.5</v>
      </c>
      <c r="G59">
        <f t="shared" si="2"/>
        <v>369.5</v>
      </c>
      <c r="H59" s="2">
        <f t="shared" si="3"/>
        <v>7.0426056338028165</v>
      </c>
      <c r="J59" s="2">
        <f t="shared" si="4"/>
        <v>2.7063599458728009</v>
      </c>
      <c r="K59" s="3">
        <f t="shared" si="5"/>
        <v>3.9039564402618359</v>
      </c>
    </row>
    <row r="60" spans="1:11" x14ac:dyDescent="0.25">
      <c r="A60" s="4" t="s">
        <v>61</v>
      </c>
      <c r="B60" s="4">
        <v>557</v>
      </c>
      <c r="C60">
        <f t="shared" si="0"/>
        <v>2.7850000000000001</v>
      </c>
      <c r="D60">
        <f t="shared" si="1"/>
        <v>369.5</v>
      </c>
      <c r="E60">
        <v>96.5</v>
      </c>
      <c r="G60">
        <f t="shared" si="2"/>
        <v>369.5</v>
      </c>
      <c r="H60" s="2">
        <f t="shared" si="3"/>
        <v>6.9428873239436619</v>
      </c>
      <c r="J60" s="2">
        <f t="shared" si="4"/>
        <v>2.7063599458728009</v>
      </c>
      <c r="K60" s="3">
        <f t="shared" si="5"/>
        <v>3.8754354578235222</v>
      </c>
    </row>
    <row r="61" spans="1:11" x14ac:dyDescent="0.25">
      <c r="A61" s="4" t="s">
        <v>62</v>
      </c>
      <c r="B61" s="4">
        <v>550</v>
      </c>
      <c r="C61">
        <f t="shared" si="0"/>
        <v>2.75</v>
      </c>
      <c r="D61">
        <f t="shared" si="1"/>
        <v>369</v>
      </c>
      <c r="E61">
        <v>96</v>
      </c>
      <c r="G61">
        <f t="shared" si="2"/>
        <v>369</v>
      </c>
      <c r="H61" s="2">
        <f t="shared" si="3"/>
        <v>6.855633802816901</v>
      </c>
      <c r="J61" s="2">
        <f t="shared" si="4"/>
        <v>2.7100271002710028</v>
      </c>
      <c r="K61" s="3">
        <f t="shared" si="5"/>
        <v>3.8501415344219874</v>
      </c>
    </row>
    <row r="62" spans="1:11" x14ac:dyDescent="0.25">
      <c r="A62" s="4" t="s">
        <v>63</v>
      </c>
      <c r="B62" s="4">
        <v>541</v>
      </c>
      <c r="C62">
        <f t="shared" si="0"/>
        <v>2.7050000000000001</v>
      </c>
      <c r="D62">
        <f t="shared" si="1"/>
        <v>369</v>
      </c>
      <c r="E62">
        <v>96</v>
      </c>
      <c r="G62">
        <f t="shared" si="2"/>
        <v>369</v>
      </c>
      <c r="H62" s="2">
        <f t="shared" si="3"/>
        <v>6.7434507042253529</v>
      </c>
      <c r="J62" s="2">
        <f t="shared" si="4"/>
        <v>2.7100271002710028</v>
      </c>
      <c r="K62" s="3">
        <f t="shared" si="5"/>
        <v>3.8171435356619172</v>
      </c>
    </row>
    <row r="63" spans="1:11" x14ac:dyDescent="0.25">
      <c r="A63" s="4" t="s">
        <v>64</v>
      </c>
      <c r="B63" s="4">
        <v>535</v>
      </c>
      <c r="C63">
        <f t="shared" si="0"/>
        <v>2.6749999999999998</v>
      </c>
      <c r="D63">
        <f t="shared" si="1"/>
        <v>369</v>
      </c>
      <c r="E63">
        <v>96</v>
      </c>
      <c r="G63">
        <f t="shared" si="2"/>
        <v>369</v>
      </c>
      <c r="H63" s="2">
        <f t="shared" si="3"/>
        <v>6.6686619718309865</v>
      </c>
      <c r="J63" s="2">
        <f t="shared" si="4"/>
        <v>2.7100271002710028</v>
      </c>
      <c r="K63" s="3">
        <f t="shared" si="5"/>
        <v>3.7948384717609676</v>
      </c>
    </row>
    <row r="64" spans="1:11" x14ac:dyDescent="0.25">
      <c r="A64" s="4" t="s">
        <v>65</v>
      </c>
      <c r="B64" s="4">
        <v>527</v>
      </c>
      <c r="C64">
        <f t="shared" si="0"/>
        <v>2.6349999999999998</v>
      </c>
      <c r="D64">
        <f t="shared" si="1"/>
        <v>368.5</v>
      </c>
      <c r="E64">
        <v>95.5</v>
      </c>
      <c r="G64">
        <f t="shared" si="2"/>
        <v>368.5</v>
      </c>
      <c r="H64" s="2">
        <f t="shared" si="3"/>
        <v>6.5689436619718311</v>
      </c>
      <c r="J64" s="2">
        <f t="shared" si="4"/>
        <v>2.7137042062415198</v>
      </c>
      <c r="K64" s="3">
        <f t="shared" si="5"/>
        <v>3.764706075051679</v>
      </c>
    </row>
    <row r="65" spans="1:11" x14ac:dyDescent="0.25">
      <c r="A65" s="4" t="s">
        <v>66</v>
      </c>
      <c r="B65" s="4">
        <v>520</v>
      </c>
      <c r="C65">
        <f t="shared" si="0"/>
        <v>2.6</v>
      </c>
      <c r="D65">
        <f t="shared" si="1"/>
        <v>368.5</v>
      </c>
      <c r="E65">
        <v>95.5</v>
      </c>
      <c r="G65">
        <f t="shared" si="2"/>
        <v>368.5</v>
      </c>
      <c r="H65" s="2">
        <f t="shared" si="3"/>
        <v>6.4816901408450702</v>
      </c>
      <c r="J65" s="2">
        <f t="shared" si="4"/>
        <v>2.7137042062415198</v>
      </c>
      <c r="K65" s="3">
        <f t="shared" si="5"/>
        <v>3.7379626011199001</v>
      </c>
    </row>
    <row r="66" spans="1:11" x14ac:dyDescent="0.25">
      <c r="A66" s="4" t="s">
        <v>67</v>
      </c>
      <c r="B66" s="4">
        <v>513</v>
      </c>
      <c r="C66">
        <f t="shared" si="0"/>
        <v>2.5649999999999999</v>
      </c>
      <c r="D66">
        <f t="shared" si="1"/>
        <v>368.5</v>
      </c>
      <c r="E66">
        <v>95.5</v>
      </c>
      <c r="G66">
        <f t="shared" si="2"/>
        <v>368.5</v>
      </c>
      <c r="H66" s="2">
        <f t="shared" si="3"/>
        <v>6.3944366197183102</v>
      </c>
      <c r="J66" s="2">
        <f t="shared" si="4"/>
        <v>2.7137042062415198</v>
      </c>
      <c r="K66" s="3">
        <f t="shared" si="5"/>
        <v>3.7108566683104933</v>
      </c>
    </row>
    <row r="67" spans="1:11" x14ac:dyDescent="0.25">
      <c r="A67" s="4" t="s">
        <v>68</v>
      </c>
      <c r="B67" s="4">
        <v>507</v>
      </c>
      <c r="C67">
        <f t="shared" si="0"/>
        <v>2.5350000000000001</v>
      </c>
      <c r="D67">
        <f t="shared" si="1"/>
        <v>367.9</v>
      </c>
      <c r="E67">
        <v>94.9</v>
      </c>
      <c r="G67">
        <f t="shared" si="2"/>
        <v>367.9</v>
      </c>
      <c r="H67" s="2">
        <f t="shared" si="3"/>
        <v>6.3196478873239439</v>
      </c>
      <c r="J67" s="2">
        <f t="shared" si="4"/>
        <v>2.7181299266104921</v>
      </c>
      <c r="K67" s="3">
        <f t="shared" si="5"/>
        <v>3.6873269851513206</v>
      </c>
    </row>
    <row r="68" spans="1:11" x14ac:dyDescent="0.25">
      <c r="A68" s="4" t="s">
        <v>69</v>
      </c>
      <c r="B68" s="4">
        <v>501</v>
      </c>
      <c r="C68">
        <f t="shared" si="0"/>
        <v>2.5049999999999999</v>
      </c>
      <c r="D68">
        <f t="shared" si="1"/>
        <v>367.9</v>
      </c>
      <c r="E68">
        <v>94.9</v>
      </c>
      <c r="G68">
        <f t="shared" si="2"/>
        <v>367.9</v>
      </c>
      <c r="H68" s="2">
        <f t="shared" si="3"/>
        <v>6.2448591549295775</v>
      </c>
      <c r="J68" s="2">
        <f t="shared" si="4"/>
        <v>2.7181299266104921</v>
      </c>
      <c r="K68" s="3">
        <f t="shared" si="5"/>
        <v>3.6635171801386837</v>
      </c>
    </row>
    <row r="69" spans="1:11" x14ac:dyDescent="0.25">
      <c r="A69" s="4" t="s">
        <v>70</v>
      </c>
      <c r="B69" s="4">
        <v>493</v>
      </c>
      <c r="C69">
        <f t="shared" si="0"/>
        <v>2.4649999999999999</v>
      </c>
      <c r="D69">
        <f t="shared" si="1"/>
        <v>367.9</v>
      </c>
      <c r="E69">
        <v>94.9</v>
      </c>
      <c r="G69">
        <f t="shared" si="2"/>
        <v>367.9</v>
      </c>
      <c r="H69" s="2">
        <f t="shared" si="3"/>
        <v>6.145140845070423</v>
      </c>
      <c r="J69" s="2">
        <f t="shared" si="4"/>
        <v>2.7181299266104921</v>
      </c>
      <c r="K69" s="3">
        <f t="shared" si="5"/>
        <v>3.6313233260543343</v>
      </c>
    </row>
    <row r="70" spans="1:11" x14ac:dyDescent="0.25">
      <c r="A70" s="4" t="s">
        <v>71</v>
      </c>
      <c r="B70" s="4">
        <v>487</v>
      </c>
      <c r="C70">
        <f t="shared" si="0"/>
        <v>2.4350000000000001</v>
      </c>
      <c r="D70">
        <f t="shared" si="1"/>
        <v>367</v>
      </c>
      <c r="E70">
        <v>94</v>
      </c>
      <c r="G70">
        <f t="shared" si="2"/>
        <v>367</v>
      </c>
      <c r="H70" s="2">
        <f t="shared" si="3"/>
        <v>6.0703521126760567</v>
      </c>
      <c r="J70" s="2">
        <f t="shared" si="4"/>
        <v>2.7247956403269753</v>
      </c>
      <c r="K70" s="3">
        <f t="shared" si="5"/>
        <v>3.6068332241341339</v>
      </c>
    </row>
    <row r="71" spans="1:11" x14ac:dyDescent="0.25">
      <c r="A71" s="4" t="s">
        <v>72</v>
      </c>
      <c r="B71" s="4">
        <v>481</v>
      </c>
      <c r="C71">
        <f t="shared" si="0"/>
        <v>2.4049999999999998</v>
      </c>
      <c r="D71">
        <f t="shared" si="1"/>
        <v>367</v>
      </c>
      <c r="E71">
        <v>94</v>
      </c>
      <c r="G71">
        <f t="shared" si="2"/>
        <v>367</v>
      </c>
      <c r="H71" s="2">
        <f t="shared" si="3"/>
        <v>5.9955633802816903</v>
      </c>
      <c r="J71" s="2">
        <f t="shared" si="4"/>
        <v>2.7247956403269753</v>
      </c>
      <c r="K71" s="3">
        <f t="shared" si="5"/>
        <v>3.5820395181804767</v>
      </c>
    </row>
    <row r="72" spans="1:11" x14ac:dyDescent="0.25">
      <c r="A72" s="4" t="s">
        <v>73</v>
      </c>
      <c r="B72" s="4">
        <v>476</v>
      </c>
      <c r="C72">
        <f t="shared" si="0"/>
        <v>2.38</v>
      </c>
      <c r="D72">
        <f t="shared" si="1"/>
        <v>367</v>
      </c>
      <c r="E72">
        <v>94</v>
      </c>
      <c r="G72">
        <f t="shared" si="2"/>
        <v>367</v>
      </c>
      <c r="H72" s="2">
        <f t="shared" si="3"/>
        <v>5.9332394366197185</v>
      </c>
      <c r="J72" s="2">
        <f t="shared" si="4"/>
        <v>2.7247956403269753</v>
      </c>
      <c r="K72" s="3">
        <f t="shared" si="5"/>
        <v>3.561140686431794</v>
      </c>
    </row>
    <row r="73" spans="1:11" x14ac:dyDescent="0.25">
      <c r="A73" s="4" t="s">
        <v>74</v>
      </c>
      <c r="B73" s="4">
        <v>469</v>
      </c>
      <c r="C73">
        <f t="shared" si="0"/>
        <v>2.3450000000000002</v>
      </c>
      <c r="D73">
        <f t="shared" si="1"/>
        <v>367</v>
      </c>
      <c r="E73">
        <v>94</v>
      </c>
      <c r="G73">
        <f t="shared" si="2"/>
        <v>367</v>
      </c>
      <c r="H73" s="2">
        <f t="shared" si="3"/>
        <v>5.8459859154929577</v>
      </c>
      <c r="J73" s="2">
        <f t="shared" si="4"/>
        <v>2.7247956403269753</v>
      </c>
      <c r="K73" s="3">
        <f t="shared" si="5"/>
        <v>3.5315105148615129</v>
      </c>
    </row>
    <row r="74" spans="1:11" x14ac:dyDescent="0.25">
      <c r="A74" s="4" t="s">
        <v>75</v>
      </c>
      <c r="B74" s="4">
        <v>463</v>
      </c>
      <c r="C74">
        <f t="shared" si="0"/>
        <v>2.3149999999999999</v>
      </c>
      <c r="D74">
        <f t="shared" si="1"/>
        <v>366.1</v>
      </c>
      <c r="E74">
        <v>93.1</v>
      </c>
      <c r="G74">
        <f t="shared" si="2"/>
        <v>366.1</v>
      </c>
      <c r="H74" s="2">
        <f t="shared" si="3"/>
        <v>5.7711971830985913</v>
      </c>
      <c r="J74" s="2">
        <f t="shared" si="4"/>
        <v>2.7314941272876263</v>
      </c>
      <c r="K74" s="3">
        <f t="shared" si="5"/>
        <v>3.5057590861414218</v>
      </c>
    </row>
    <row r="75" spans="1:11" x14ac:dyDescent="0.25">
      <c r="A75" s="4" t="s">
        <v>76</v>
      </c>
      <c r="B75" s="4">
        <v>458</v>
      </c>
      <c r="C75">
        <f t="shared" ref="C75:C138" si="6">B75/200</f>
        <v>2.29</v>
      </c>
      <c r="D75">
        <f t="shared" ref="D75:D138" si="7">273+E75</f>
        <v>366.1</v>
      </c>
      <c r="E75">
        <v>93.1</v>
      </c>
      <c r="G75">
        <f t="shared" ref="G75:G138" si="8">D75</f>
        <v>366.1</v>
      </c>
      <c r="H75" s="2">
        <f t="shared" ref="H75:H138" si="9">1.77*B75/142</f>
        <v>5.7088732394366195</v>
      </c>
      <c r="J75" s="2">
        <f t="shared" ref="J75:J138" si="10">1000/G75</f>
        <v>2.7314941272876263</v>
      </c>
      <c r="K75" s="3">
        <f t="shared" ref="K75:K138" si="11">LN(H75*H75)</f>
        <v>3.4840433461973239</v>
      </c>
    </row>
    <row r="76" spans="1:11" x14ac:dyDescent="0.25">
      <c r="A76" s="4" t="s">
        <v>77</v>
      </c>
      <c r="B76" s="4">
        <v>452</v>
      </c>
      <c r="C76">
        <f t="shared" si="6"/>
        <v>2.2599999999999998</v>
      </c>
      <c r="D76">
        <f t="shared" si="7"/>
        <v>366.1</v>
      </c>
      <c r="E76">
        <v>93.1</v>
      </c>
      <c r="G76">
        <f t="shared" si="8"/>
        <v>366.1</v>
      </c>
      <c r="H76" s="2">
        <f t="shared" si="9"/>
        <v>5.6340845070422532</v>
      </c>
      <c r="J76" s="2">
        <f t="shared" si="10"/>
        <v>2.7314941272876263</v>
      </c>
      <c r="K76" s="3">
        <f t="shared" si="11"/>
        <v>3.4576693376334164</v>
      </c>
    </row>
    <row r="77" spans="1:11" x14ac:dyDescent="0.25">
      <c r="A77" s="4" t="s">
        <v>78</v>
      </c>
      <c r="B77" s="4">
        <v>447</v>
      </c>
      <c r="C77">
        <f t="shared" si="6"/>
        <v>2.2349999999999999</v>
      </c>
      <c r="D77">
        <f t="shared" si="7"/>
        <v>365.5</v>
      </c>
      <c r="E77">
        <v>92.5</v>
      </c>
      <c r="G77">
        <f t="shared" si="8"/>
        <v>365.5</v>
      </c>
      <c r="H77" s="2">
        <f t="shared" si="9"/>
        <v>5.5717605633802822</v>
      </c>
      <c r="J77" s="2">
        <f t="shared" si="10"/>
        <v>2.7359781121751028</v>
      </c>
      <c r="K77" s="3">
        <f t="shared" si="11"/>
        <v>3.4354221671960921</v>
      </c>
    </row>
    <row r="78" spans="1:11" x14ac:dyDescent="0.25">
      <c r="A78" s="4" t="s">
        <v>79</v>
      </c>
      <c r="B78" s="4">
        <v>441</v>
      </c>
      <c r="C78">
        <f t="shared" si="6"/>
        <v>2.2050000000000001</v>
      </c>
      <c r="D78">
        <f t="shared" si="7"/>
        <v>365.5</v>
      </c>
      <c r="E78">
        <v>92.5</v>
      </c>
      <c r="G78">
        <f t="shared" si="8"/>
        <v>365.5</v>
      </c>
      <c r="H78" s="2">
        <f t="shared" si="9"/>
        <v>5.4969718309859159</v>
      </c>
      <c r="J78" s="2">
        <f t="shared" si="10"/>
        <v>2.7359781121751028</v>
      </c>
      <c r="K78" s="3">
        <f t="shared" si="11"/>
        <v>3.4083947288626462</v>
      </c>
    </row>
    <row r="79" spans="1:11" x14ac:dyDescent="0.25">
      <c r="A79" s="4" t="s">
        <v>80</v>
      </c>
      <c r="B79" s="4">
        <v>435</v>
      </c>
      <c r="C79">
        <f t="shared" si="6"/>
        <v>2.1749999999999998</v>
      </c>
      <c r="D79">
        <f t="shared" si="7"/>
        <v>365.5</v>
      </c>
      <c r="E79">
        <v>92.5</v>
      </c>
      <c r="G79">
        <f t="shared" si="8"/>
        <v>365.5</v>
      </c>
      <c r="H79" s="2">
        <f t="shared" si="9"/>
        <v>5.4221830985915496</v>
      </c>
      <c r="J79" s="2">
        <f t="shared" si="10"/>
        <v>2.7359781121751028</v>
      </c>
      <c r="K79" s="3">
        <f t="shared" si="11"/>
        <v>3.3809970401463225</v>
      </c>
    </row>
    <row r="80" spans="1:11" x14ac:dyDescent="0.25">
      <c r="A80" s="4" t="s">
        <v>81</v>
      </c>
      <c r="B80" s="4">
        <v>430</v>
      </c>
      <c r="C80">
        <f t="shared" si="6"/>
        <v>2.15</v>
      </c>
      <c r="D80">
        <f t="shared" si="7"/>
        <v>364.9</v>
      </c>
      <c r="E80">
        <v>91.9</v>
      </c>
      <c r="G80">
        <f t="shared" si="8"/>
        <v>364.9</v>
      </c>
      <c r="H80" s="2">
        <f t="shared" si="9"/>
        <v>5.3598591549295778</v>
      </c>
      <c r="J80" s="2">
        <f t="shared" si="10"/>
        <v>2.740476842970677</v>
      </c>
      <c r="K80" s="3">
        <f t="shared" si="11"/>
        <v>3.3578753953441702</v>
      </c>
    </row>
    <row r="81" spans="1:11" x14ac:dyDescent="0.25">
      <c r="A81" s="4" t="s">
        <v>82</v>
      </c>
      <c r="B81" s="4">
        <v>425</v>
      </c>
      <c r="C81">
        <f t="shared" si="6"/>
        <v>2.125</v>
      </c>
      <c r="D81">
        <f t="shared" si="7"/>
        <v>364.9</v>
      </c>
      <c r="E81">
        <v>91.9</v>
      </c>
      <c r="G81">
        <f t="shared" si="8"/>
        <v>364.9</v>
      </c>
      <c r="H81" s="2">
        <f t="shared" si="9"/>
        <v>5.297535211267606</v>
      </c>
      <c r="J81" s="2">
        <f t="shared" si="10"/>
        <v>2.740476842970677</v>
      </c>
      <c r="K81" s="3">
        <f t="shared" si="11"/>
        <v>3.334483315817788</v>
      </c>
    </row>
    <row r="82" spans="1:11" x14ac:dyDescent="0.25">
      <c r="A82" s="4" t="s">
        <v>83</v>
      </c>
      <c r="B82" s="4">
        <v>419</v>
      </c>
      <c r="C82">
        <f t="shared" si="6"/>
        <v>2.0950000000000002</v>
      </c>
      <c r="D82">
        <f t="shared" si="7"/>
        <v>364.9</v>
      </c>
      <c r="E82">
        <v>91.9</v>
      </c>
      <c r="G82">
        <f t="shared" si="8"/>
        <v>364.9</v>
      </c>
      <c r="H82" s="2">
        <f t="shared" si="9"/>
        <v>5.2227464788732396</v>
      </c>
      <c r="J82" s="2">
        <f t="shared" si="10"/>
        <v>2.740476842970677</v>
      </c>
      <c r="K82" s="3">
        <f t="shared" si="11"/>
        <v>3.3060468178132294</v>
      </c>
    </row>
    <row r="83" spans="1:11" x14ac:dyDescent="0.25">
      <c r="A83" s="4" t="s">
        <v>84</v>
      </c>
      <c r="B83" s="4">
        <v>416</v>
      </c>
      <c r="C83">
        <f t="shared" si="6"/>
        <v>2.08</v>
      </c>
      <c r="D83">
        <f t="shared" si="7"/>
        <v>364.4</v>
      </c>
      <c r="E83">
        <v>91.4</v>
      </c>
      <c r="G83">
        <f t="shared" si="8"/>
        <v>364.4</v>
      </c>
      <c r="H83" s="2">
        <f t="shared" si="9"/>
        <v>5.1853521126760569</v>
      </c>
      <c r="J83" s="2">
        <f t="shared" si="10"/>
        <v>2.7442371020856204</v>
      </c>
      <c r="K83" s="3">
        <f t="shared" si="11"/>
        <v>3.2916754984914807</v>
      </c>
    </row>
    <row r="84" spans="1:11" x14ac:dyDescent="0.25">
      <c r="A84" s="4" t="s">
        <v>85</v>
      </c>
      <c r="B84" s="4">
        <v>412</v>
      </c>
      <c r="C84">
        <f t="shared" si="6"/>
        <v>2.06</v>
      </c>
      <c r="D84">
        <f t="shared" si="7"/>
        <v>364.4</v>
      </c>
      <c r="E84">
        <v>91.4</v>
      </c>
      <c r="G84">
        <f t="shared" si="8"/>
        <v>364.4</v>
      </c>
      <c r="H84" s="2">
        <f t="shared" si="9"/>
        <v>5.1354929577464787</v>
      </c>
      <c r="J84" s="2">
        <f t="shared" si="10"/>
        <v>2.7442371020856204</v>
      </c>
      <c r="K84" s="3">
        <f t="shared" si="11"/>
        <v>3.272351676668007</v>
      </c>
    </row>
    <row r="85" spans="1:11" x14ac:dyDescent="0.25">
      <c r="A85" s="4" t="s">
        <v>86</v>
      </c>
      <c r="B85" s="4">
        <v>406</v>
      </c>
      <c r="C85">
        <f t="shared" si="6"/>
        <v>2.0299999999999998</v>
      </c>
      <c r="D85">
        <f t="shared" si="7"/>
        <v>364.4</v>
      </c>
      <c r="E85">
        <v>91.4</v>
      </c>
      <c r="G85">
        <f t="shared" si="8"/>
        <v>364.4</v>
      </c>
      <c r="H85" s="2">
        <f t="shared" si="9"/>
        <v>5.0607042253521124</v>
      </c>
      <c r="J85" s="2">
        <f t="shared" si="10"/>
        <v>2.7442371020856204</v>
      </c>
      <c r="K85" s="3">
        <f t="shared" si="11"/>
        <v>3.2430112971724192</v>
      </c>
    </row>
    <row r="86" spans="1:11" x14ac:dyDescent="0.25">
      <c r="A86" s="4" t="s">
        <v>87</v>
      </c>
      <c r="B86" s="4">
        <v>402</v>
      </c>
      <c r="C86">
        <f t="shared" si="6"/>
        <v>2.0099999999999998</v>
      </c>
      <c r="D86">
        <f t="shared" si="7"/>
        <v>363.8</v>
      </c>
      <c r="E86">
        <v>90.8</v>
      </c>
      <c r="G86">
        <f t="shared" si="8"/>
        <v>363.8</v>
      </c>
      <c r="H86" s="2">
        <f t="shared" si="9"/>
        <v>5.0108450704225351</v>
      </c>
      <c r="J86" s="2">
        <f t="shared" si="10"/>
        <v>2.7487630566245187</v>
      </c>
      <c r="K86" s="3">
        <f t="shared" si="11"/>
        <v>3.2232091552069964</v>
      </c>
    </row>
    <row r="87" spans="1:11" x14ac:dyDescent="0.25">
      <c r="A87" s="4" t="s">
        <v>88</v>
      </c>
      <c r="B87" s="4">
        <v>397</v>
      </c>
      <c r="C87">
        <f t="shared" si="6"/>
        <v>1.9850000000000001</v>
      </c>
      <c r="D87">
        <f t="shared" si="7"/>
        <v>363.8</v>
      </c>
      <c r="E87">
        <v>90.8</v>
      </c>
      <c r="G87">
        <f t="shared" si="8"/>
        <v>363.8</v>
      </c>
      <c r="H87" s="2">
        <f t="shared" si="9"/>
        <v>4.9485211267605633</v>
      </c>
      <c r="J87" s="2">
        <f t="shared" si="10"/>
        <v>2.7487630566245187</v>
      </c>
      <c r="K87" s="3">
        <f t="shared" si="11"/>
        <v>3.1981775393433347</v>
      </c>
    </row>
    <row r="88" spans="1:11" x14ac:dyDescent="0.25">
      <c r="A88" s="4" t="s">
        <v>89</v>
      </c>
      <c r="B88" s="4">
        <v>393</v>
      </c>
      <c r="C88">
        <f t="shared" si="6"/>
        <v>1.9650000000000001</v>
      </c>
      <c r="D88">
        <f t="shared" si="7"/>
        <v>363.8</v>
      </c>
      <c r="E88">
        <v>90.8</v>
      </c>
      <c r="G88">
        <f t="shared" si="8"/>
        <v>363.8</v>
      </c>
      <c r="H88" s="2">
        <f t="shared" si="9"/>
        <v>4.8986619718309861</v>
      </c>
      <c r="J88" s="2">
        <f t="shared" si="10"/>
        <v>2.7487630566245187</v>
      </c>
      <c r="K88" s="3">
        <f t="shared" si="11"/>
        <v>3.1779242017074765</v>
      </c>
    </row>
    <row r="89" spans="1:11" x14ac:dyDescent="0.25">
      <c r="A89" s="4" t="s">
        <v>90</v>
      </c>
      <c r="B89" s="4">
        <v>389</v>
      </c>
      <c r="C89">
        <f t="shared" si="6"/>
        <v>1.9450000000000001</v>
      </c>
      <c r="D89">
        <f t="shared" si="7"/>
        <v>363.8</v>
      </c>
      <c r="E89">
        <v>90.8</v>
      </c>
      <c r="G89">
        <f t="shared" si="8"/>
        <v>363.8</v>
      </c>
      <c r="H89" s="2">
        <f t="shared" si="9"/>
        <v>4.8488028169014079</v>
      </c>
      <c r="J89" s="2">
        <f t="shared" si="10"/>
        <v>2.7487630566245187</v>
      </c>
      <c r="K89" s="3">
        <f t="shared" si="11"/>
        <v>3.1574636652058463</v>
      </c>
    </row>
    <row r="90" spans="1:11" x14ac:dyDescent="0.25">
      <c r="A90" s="4" t="s">
        <v>91</v>
      </c>
      <c r="B90" s="4">
        <v>386</v>
      </c>
      <c r="C90">
        <f t="shared" si="6"/>
        <v>1.93</v>
      </c>
      <c r="D90">
        <f t="shared" si="7"/>
        <v>363.2</v>
      </c>
      <c r="E90">
        <v>90.2</v>
      </c>
      <c r="G90">
        <f t="shared" si="8"/>
        <v>363.2</v>
      </c>
      <c r="H90" s="2">
        <f t="shared" si="9"/>
        <v>4.8114084507042252</v>
      </c>
      <c r="J90" s="2">
        <f t="shared" si="10"/>
        <v>2.7533039647577096</v>
      </c>
      <c r="K90" s="3">
        <f t="shared" si="11"/>
        <v>3.1419797168986157</v>
      </c>
    </row>
    <row r="91" spans="1:11" x14ac:dyDescent="0.25">
      <c r="A91" s="4" t="s">
        <v>92</v>
      </c>
      <c r="B91" s="4">
        <v>381</v>
      </c>
      <c r="C91">
        <f t="shared" si="6"/>
        <v>1.905</v>
      </c>
      <c r="D91">
        <f t="shared" si="7"/>
        <v>363.2</v>
      </c>
      <c r="E91">
        <v>90.2</v>
      </c>
      <c r="G91">
        <f t="shared" si="8"/>
        <v>363.2</v>
      </c>
      <c r="H91" s="2">
        <f t="shared" si="9"/>
        <v>4.7490845070422534</v>
      </c>
      <c r="J91" s="2">
        <f t="shared" si="10"/>
        <v>2.7533039647577096</v>
      </c>
      <c r="K91" s="3">
        <f t="shared" si="11"/>
        <v>3.1159037282223561</v>
      </c>
    </row>
    <row r="92" spans="1:11" x14ac:dyDescent="0.25">
      <c r="A92" s="4" t="s">
        <v>93</v>
      </c>
      <c r="B92" s="4">
        <v>377</v>
      </c>
      <c r="C92">
        <f t="shared" si="6"/>
        <v>1.885</v>
      </c>
      <c r="D92">
        <f t="shared" si="7"/>
        <v>363.2</v>
      </c>
      <c r="E92">
        <v>90.2</v>
      </c>
      <c r="G92">
        <f t="shared" si="8"/>
        <v>363.2</v>
      </c>
      <c r="H92" s="2">
        <f t="shared" si="9"/>
        <v>4.6992253521126761</v>
      </c>
      <c r="J92" s="2">
        <f t="shared" si="10"/>
        <v>2.7533039647577096</v>
      </c>
      <c r="K92" s="3">
        <f t="shared" si="11"/>
        <v>3.0947953528649754</v>
      </c>
    </row>
    <row r="93" spans="1:11" x14ac:dyDescent="0.25">
      <c r="A93" s="4" t="s">
        <v>94</v>
      </c>
      <c r="B93" s="4">
        <v>372</v>
      </c>
      <c r="C93">
        <f t="shared" si="6"/>
        <v>1.86</v>
      </c>
      <c r="D93">
        <f t="shared" si="7"/>
        <v>362.8</v>
      </c>
      <c r="E93">
        <v>89.8</v>
      </c>
      <c r="G93">
        <f t="shared" si="8"/>
        <v>362.8</v>
      </c>
      <c r="H93" s="2">
        <f t="shared" si="9"/>
        <v>4.6369014084507043</v>
      </c>
      <c r="J93" s="2">
        <f t="shared" si="10"/>
        <v>2.7563395810363835</v>
      </c>
      <c r="K93" s="3">
        <f t="shared" si="11"/>
        <v>3.0680926865152474</v>
      </c>
    </row>
    <row r="94" spans="1:11" x14ac:dyDescent="0.25">
      <c r="A94" s="4" t="s">
        <v>95</v>
      </c>
      <c r="B94" s="4">
        <v>368</v>
      </c>
      <c r="C94">
        <f t="shared" si="6"/>
        <v>1.84</v>
      </c>
      <c r="D94">
        <f t="shared" si="7"/>
        <v>362.8</v>
      </c>
      <c r="E94">
        <v>89.8</v>
      </c>
      <c r="G94">
        <f t="shared" si="8"/>
        <v>362.8</v>
      </c>
      <c r="H94" s="2">
        <f t="shared" si="9"/>
        <v>4.587042253521127</v>
      </c>
      <c r="J94" s="2">
        <f t="shared" si="10"/>
        <v>2.7563395810363835</v>
      </c>
      <c r="K94" s="3">
        <f t="shared" si="11"/>
        <v>3.0464708543068162</v>
      </c>
    </row>
    <row r="95" spans="1:11" x14ac:dyDescent="0.25">
      <c r="A95" s="4" t="s">
        <v>96</v>
      </c>
      <c r="B95" s="4">
        <v>365</v>
      </c>
      <c r="C95">
        <f t="shared" si="6"/>
        <v>1.825</v>
      </c>
      <c r="D95">
        <f t="shared" si="7"/>
        <v>362.8</v>
      </c>
      <c r="E95">
        <v>89.8</v>
      </c>
      <c r="G95">
        <f t="shared" si="8"/>
        <v>362.8</v>
      </c>
      <c r="H95" s="2">
        <f t="shared" si="9"/>
        <v>4.5496478873239434</v>
      </c>
      <c r="J95" s="2">
        <f t="shared" si="10"/>
        <v>2.7563395810363835</v>
      </c>
      <c r="K95" s="3">
        <f t="shared" si="11"/>
        <v>3.030099685133937</v>
      </c>
    </row>
    <row r="96" spans="1:11" x14ac:dyDescent="0.25">
      <c r="A96" s="4" t="s">
        <v>97</v>
      </c>
      <c r="B96" s="4">
        <v>362</v>
      </c>
      <c r="C96">
        <f t="shared" si="6"/>
        <v>1.81</v>
      </c>
      <c r="D96">
        <f t="shared" si="7"/>
        <v>362.2</v>
      </c>
      <c r="E96">
        <v>89.2</v>
      </c>
      <c r="G96">
        <f t="shared" si="8"/>
        <v>362.2</v>
      </c>
      <c r="H96" s="2">
        <f t="shared" si="9"/>
        <v>4.5122535211267607</v>
      </c>
      <c r="J96" s="2">
        <f t="shared" si="10"/>
        <v>2.7609055770292659</v>
      </c>
      <c r="K96" s="3">
        <f t="shared" si="11"/>
        <v>3.0135934016204962</v>
      </c>
    </row>
    <row r="97" spans="1:11" x14ac:dyDescent="0.25">
      <c r="A97" s="4" t="s">
        <v>98</v>
      </c>
      <c r="B97" s="4">
        <v>357</v>
      </c>
      <c r="C97">
        <f t="shared" si="6"/>
        <v>1.7849999999999999</v>
      </c>
      <c r="D97">
        <f t="shared" si="7"/>
        <v>362.2</v>
      </c>
      <c r="E97">
        <v>89.2</v>
      </c>
      <c r="G97">
        <f t="shared" si="8"/>
        <v>362.2</v>
      </c>
      <c r="H97" s="2">
        <f t="shared" si="9"/>
        <v>4.4499295774647889</v>
      </c>
      <c r="J97" s="2">
        <f t="shared" si="10"/>
        <v>2.7609055770292659</v>
      </c>
      <c r="K97" s="3">
        <f t="shared" si="11"/>
        <v>2.9857765415282325</v>
      </c>
    </row>
    <row r="98" spans="1:11" x14ac:dyDescent="0.25">
      <c r="A98" s="4" t="s">
        <v>99</v>
      </c>
      <c r="B98" s="4">
        <v>354</v>
      </c>
      <c r="C98">
        <f t="shared" si="6"/>
        <v>1.77</v>
      </c>
      <c r="D98">
        <f t="shared" si="7"/>
        <v>362.2</v>
      </c>
      <c r="E98">
        <v>89.2</v>
      </c>
      <c r="G98">
        <f t="shared" si="8"/>
        <v>362.2</v>
      </c>
      <c r="H98" s="2">
        <f t="shared" si="9"/>
        <v>4.4125352112676062</v>
      </c>
      <c r="J98" s="2">
        <f t="shared" si="10"/>
        <v>2.7609055770292659</v>
      </c>
      <c r="K98" s="3">
        <f t="shared" si="11"/>
        <v>2.968898804236503</v>
      </c>
    </row>
    <row r="99" spans="1:11" x14ac:dyDescent="0.25">
      <c r="A99" s="4" t="s">
        <v>100</v>
      </c>
      <c r="B99" s="4">
        <v>351</v>
      </c>
      <c r="C99">
        <f t="shared" si="6"/>
        <v>1.7549999999999999</v>
      </c>
      <c r="D99">
        <f t="shared" si="7"/>
        <v>361.7</v>
      </c>
      <c r="E99">
        <v>88.7</v>
      </c>
      <c r="G99">
        <f t="shared" si="8"/>
        <v>361.7</v>
      </c>
      <c r="H99" s="2">
        <f t="shared" si="9"/>
        <v>4.3751408450704226</v>
      </c>
      <c r="J99" s="2">
        <f t="shared" si="10"/>
        <v>2.7647221454243849</v>
      </c>
      <c r="K99" s="3">
        <f t="shared" si="11"/>
        <v>2.9518774249006858</v>
      </c>
    </row>
    <row r="100" spans="1:11" x14ac:dyDescent="0.25">
      <c r="A100" s="4" t="s">
        <v>101</v>
      </c>
      <c r="B100" s="4">
        <v>347</v>
      </c>
      <c r="C100">
        <f t="shared" si="6"/>
        <v>1.7350000000000001</v>
      </c>
      <c r="D100">
        <f t="shared" si="7"/>
        <v>361.7</v>
      </c>
      <c r="E100">
        <v>88.7</v>
      </c>
      <c r="G100">
        <f t="shared" si="8"/>
        <v>361.7</v>
      </c>
      <c r="H100" s="2">
        <f t="shared" si="9"/>
        <v>4.3252816901408453</v>
      </c>
      <c r="J100" s="2">
        <f t="shared" si="10"/>
        <v>2.7647221454243849</v>
      </c>
      <c r="K100" s="3">
        <f t="shared" si="11"/>
        <v>2.9289545378626727</v>
      </c>
    </row>
    <row r="101" spans="1:11" x14ac:dyDescent="0.25">
      <c r="A101" s="4" t="s">
        <v>102</v>
      </c>
      <c r="B101" s="4">
        <v>343</v>
      </c>
      <c r="C101">
        <f t="shared" si="6"/>
        <v>1.7150000000000001</v>
      </c>
      <c r="D101">
        <f t="shared" si="7"/>
        <v>361.7</v>
      </c>
      <c r="E101">
        <v>88.7</v>
      </c>
      <c r="G101">
        <f t="shared" si="8"/>
        <v>361.7</v>
      </c>
      <c r="H101" s="2">
        <f t="shared" si="9"/>
        <v>4.275422535211268</v>
      </c>
      <c r="J101" s="2">
        <f t="shared" si="10"/>
        <v>2.7647221454243849</v>
      </c>
      <c r="K101" s="3">
        <f t="shared" si="11"/>
        <v>2.9057658723008339</v>
      </c>
    </row>
    <row r="102" spans="1:11" x14ac:dyDescent="0.25">
      <c r="A102" s="4" t="s">
        <v>103</v>
      </c>
      <c r="B102" s="4">
        <v>340</v>
      </c>
      <c r="C102">
        <f t="shared" si="6"/>
        <v>1.7</v>
      </c>
      <c r="D102">
        <f t="shared" si="7"/>
        <v>361.1</v>
      </c>
      <c r="E102">
        <v>88.1</v>
      </c>
      <c r="G102">
        <f t="shared" si="8"/>
        <v>361.1</v>
      </c>
      <c r="H102" s="2">
        <f t="shared" si="9"/>
        <v>4.2380281690140844</v>
      </c>
      <c r="J102" s="2">
        <f t="shared" si="10"/>
        <v>2.7693159789531983</v>
      </c>
      <c r="K102" s="3">
        <f t="shared" si="11"/>
        <v>2.8881962131893681</v>
      </c>
    </row>
    <row r="103" spans="1:11" x14ac:dyDescent="0.25">
      <c r="A103" s="4" t="s">
        <v>104</v>
      </c>
      <c r="B103" s="4">
        <v>337</v>
      </c>
      <c r="C103">
        <f t="shared" si="6"/>
        <v>1.6850000000000001</v>
      </c>
      <c r="D103">
        <f t="shared" si="7"/>
        <v>361.1</v>
      </c>
      <c r="E103">
        <v>88.1</v>
      </c>
      <c r="G103">
        <f t="shared" si="8"/>
        <v>361.1</v>
      </c>
      <c r="H103" s="2">
        <f t="shared" si="9"/>
        <v>4.2006338028169017</v>
      </c>
      <c r="J103" s="2">
        <f t="shared" si="10"/>
        <v>2.7693159789531983</v>
      </c>
      <c r="K103" s="3">
        <f t="shared" si="11"/>
        <v>2.8704708386736777</v>
      </c>
    </row>
    <row r="104" spans="1:11" x14ac:dyDescent="0.25">
      <c r="A104" s="4" t="s">
        <v>105</v>
      </c>
      <c r="B104" s="4">
        <v>334</v>
      </c>
      <c r="C104">
        <f t="shared" si="6"/>
        <v>1.67</v>
      </c>
      <c r="D104">
        <f t="shared" si="7"/>
        <v>361.1</v>
      </c>
      <c r="E104">
        <v>88.1</v>
      </c>
      <c r="G104">
        <f t="shared" si="8"/>
        <v>361.1</v>
      </c>
      <c r="H104" s="2">
        <f t="shared" si="9"/>
        <v>4.1632394366197181</v>
      </c>
      <c r="J104" s="2">
        <f t="shared" si="10"/>
        <v>2.7693159789531983</v>
      </c>
      <c r="K104" s="3">
        <f t="shared" si="11"/>
        <v>2.8525869639223549</v>
      </c>
    </row>
    <row r="105" spans="1:11" x14ac:dyDescent="0.25">
      <c r="A105" s="4" t="s">
        <v>106</v>
      </c>
      <c r="B105" s="4">
        <v>331</v>
      </c>
      <c r="C105">
        <f t="shared" si="6"/>
        <v>1.655</v>
      </c>
      <c r="D105">
        <f t="shared" si="7"/>
        <v>361.1</v>
      </c>
      <c r="E105">
        <v>88.1</v>
      </c>
      <c r="G105">
        <f t="shared" si="8"/>
        <v>361.1</v>
      </c>
      <c r="H105" s="2">
        <f t="shared" si="9"/>
        <v>4.1258450704225353</v>
      </c>
      <c r="J105" s="2">
        <f t="shared" si="10"/>
        <v>2.7693159789531983</v>
      </c>
      <c r="K105" s="3">
        <f t="shared" si="11"/>
        <v>2.8345417287230799</v>
      </c>
    </row>
    <row r="106" spans="1:11" x14ac:dyDescent="0.25">
      <c r="A106" s="4" t="s">
        <v>107</v>
      </c>
      <c r="B106" s="4">
        <v>329</v>
      </c>
      <c r="C106">
        <f t="shared" si="6"/>
        <v>1.645</v>
      </c>
      <c r="D106">
        <f t="shared" si="7"/>
        <v>360.5</v>
      </c>
      <c r="E106">
        <v>87.5</v>
      </c>
      <c r="G106">
        <f t="shared" si="8"/>
        <v>360.5</v>
      </c>
      <c r="H106" s="2">
        <f t="shared" si="9"/>
        <v>4.1009154929577472</v>
      </c>
      <c r="J106" s="2">
        <f t="shared" si="10"/>
        <v>2.7739251040221915</v>
      </c>
      <c r="K106" s="3">
        <f t="shared" si="11"/>
        <v>2.8224204794996983</v>
      </c>
    </row>
    <row r="107" spans="1:11" x14ac:dyDescent="0.25">
      <c r="A107" s="4" t="s">
        <v>108</v>
      </c>
      <c r="B107" s="4">
        <v>325</v>
      </c>
      <c r="C107">
        <f t="shared" si="6"/>
        <v>1.625</v>
      </c>
      <c r="D107">
        <f t="shared" si="7"/>
        <v>360.5</v>
      </c>
      <c r="E107">
        <v>87.5</v>
      </c>
      <c r="G107">
        <f t="shared" si="8"/>
        <v>360.5</v>
      </c>
      <c r="H107" s="2">
        <f t="shared" si="9"/>
        <v>4.051056338028169</v>
      </c>
      <c r="J107" s="2">
        <f t="shared" si="10"/>
        <v>2.7739251040221915</v>
      </c>
      <c r="K107" s="3">
        <f t="shared" si="11"/>
        <v>2.7979553426284292</v>
      </c>
    </row>
    <row r="108" spans="1:11" x14ac:dyDescent="0.25">
      <c r="A108" s="4" t="s">
        <v>109</v>
      </c>
      <c r="B108" s="4">
        <v>322</v>
      </c>
      <c r="C108">
        <f t="shared" si="6"/>
        <v>1.61</v>
      </c>
      <c r="D108">
        <f t="shared" si="7"/>
        <v>360.5</v>
      </c>
      <c r="E108">
        <v>87.5</v>
      </c>
      <c r="G108">
        <f t="shared" si="8"/>
        <v>360.5</v>
      </c>
      <c r="H108" s="2">
        <f t="shared" si="9"/>
        <v>4.0136619718309863</v>
      </c>
      <c r="J108" s="2">
        <f t="shared" si="10"/>
        <v>2.7739251040221915</v>
      </c>
      <c r="K108" s="3">
        <f t="shared" si="11"/>
        <v>2.7794080690577712</v>
      </c>
    </row>
    <row r="109" spans="1:11" x14ac:dyDescent="0.25">
      <c r="A109" s="4" t="s">
        <v>110</v>
      </c>
      <c r="B109" s="4">
        <v>320</v>
      </c>
      <c r="C109">
        <f t="shared" si="6"/>
        <v>1.6</v>
      </c>
      <c r="D109">
        <f t="shared" si="7"/>
        <v>359.9</v>
      </c>
      <c r="E109">
        <v>86.9</v>
      </c>
      <c r="G109">
        <f t="shared" si="8"/>
        <v>359.9</v>
      </c>
      <c r="H109" s="2">
        <f t="shared" si="9"/>
        <v>3.9887323943661972</v>
      </c>
      <c r="J109" s="2">
        <f t="shared" si="10"/>
        <v>2.7785495971103087</v>
      </c>
      <c r="K109" s="3">
        <f t="shared" si="11"/>
        <v>2.7669469695564985</v>
      </c>
    </row>
    <row r="110" spans="1:11" x14ac:dyDescent="0.25">
      <c r="A110" s="4" t="s">
        <v>111</v>
      </c>
      <c r="B110" s="4">
        <v>316</v>
      </c>
      <c r="C110">
        <f t="shared" si="6"/>
        <v>1.58</v>
      </c>
      <c r="D110">
        <f t="shared" si="7"/>
        <v>359.9</v>
      </c>
      <c r="E110">
        <v>86.9</v>
      </c>
      <c r="G110">
        <f t="shared" si="8"/>
        <v>359.9</v>
      </c>
      <c r="H110" s="2">
        <f t="shared" si="9"/>
        <v>3.9388732394366199</v>
      </c>
      <c r="J110" s="2">
        <f t="shared" si="10"/>
        <v>2.7785495971103087</v>
      </c>
      <c r="K110" s="3">
        <f t="shared" si="11"/>
        <v>2.7417894051427782</v>
      </c>
    </row>
    <row r="111" spans="1:11" x14ac:dyDescent="0.25">
      <c r="A111" s="4" t="s">
        <v>112</v>
      </c>
      <c r="B111" s="4">
        <v>313</v>
      </c>
      <c r="C111">
        <f t="shared" si="6"/>
        <v>1.5649999999999999</v>
      </c>
      <c r="D111">
        <f t="shared" si="7"/>
        <v>359.9</v>
      </c>
      <c r="E111">
        <v>86.9</v>
      </c>
      <c r="G111">
        <f t="shared" si="8"/>
        <v>359.9</v>
      </c>
      <c r="H111" s="2">
        <f t="shared" si="9"/>
        <v>3.9014788732394368</v>
      </c>
      <c r="J111" s="2">
        <f t="shared" si="10"/>
        <v>2.7785495971103087</v>
      </c>
      <c r="K111" s="3">
        <f t="shared" si="11"/>
        <v>2.7227113590492604</v>
      </c>
    </row>
    <row r="112" spans="1:11" x14ac:dyDescent="0.25">
      <c r="A112" s="4" t="s">
        <v>113</v>
      </c>
      <c r="B112" s="4">
        <v>310</v>
      </c>
      <c r="C112">
        <f t="shared" si="6"/>
        <v>1.55</v>
      </c>
      <c r="D112">
        <f t="shared" si="7"/>
        <v>359</v>
      </c>
      <c r="E112">
        <v>86</v>
      </c>
      <c r="G112">
        <f t="shared" si="8"/>
        <v>359</v>
      </c>
      <c r="H112" s="2">
        <f t="shared" si="9"/>
        <v>3.864084507042254</v>
      </c>
      <c r="J112" s="2">
        <f t="shared" si="10"/>
        <v>2.785515320334262</v>
      </c>
      <c r="K112" s="3">
        <f t="shared" si="11"/>
        <v>2.7034495729273385</v>
      </c>
    </row>
    <row r="113" spans="1:11" x14ac:dyDescent="0.25">
      <c r="A113" s="4" t="s">
        <v>114</v>
      </c>
      <c r="B113" s="4">
        <v>309</v>
      </c>
      <c r="C113">
        <f t="shared" si="6"/>
        <v>1.5449999999999999</v>
      </c>
      <c r="D113">
        <f t="shared" si="7"/>
        <v>359</v>
      </c>
      <c r="E113">
        <v>86</v>
      </c>
      <c r="G113">
        <f t="shared" si="8"/>
        <v>359</v>
      </c>
      <c r="H113" s="2">
        <f t="shared" si="9"/>
        <v>3.8516197183098586</v>
      </c>
      <c r="J113" s="2">
        <f t="shared" si="10"/>
        <v>2.785515320334262</v>
      </c>
      <c r="K113" s="3">
        <f t="shared" si="11"/>
        <v>2.6969875317644449</v>
      </c>
    </row>
    <row r="114" spans="1:11" x14ac:dyDescent="0.25">
      <c r="A114" s="4" t="s">
        <v>115</v>
      </c>
      <c r="B114" s="4">
        <v>307</v>
      </c>
      <c r="C114">
        <f t="shared" si="6"/>
        <v>1.5349999999999999</v>
      </c>
      <c r="D114">
        <f t="shared" si="7"/>
        <v>359</v>
      </c>
      <c r="E114">
        <v>86</v>
      </c>
      <c r="G114">
        <f t="shared" si="8"/>
        <v>359</v>
      </c>
      <c r="H114" s="2">
        <f t="shared" si="9"/>
        <v>3.8266901408450704</v>
      </c>
      <c r="J114" s="2">
        <f t="shared" si="10"/>
        <v>2.785515320334262</v>
      </c>
      <c r="K114" s="3">
        <f t="shared" si="11"/>
        <v>2.6840004731433482</v>
      </c>
    </row>
    <row r="115" spans="1:11" x14ac:dyDescent="0.25">
      <c r="A115" s="4" t="s">
        <v>116</v>
      </c>
      <c r="B115" s="4">
        <v>306</v>
      </c>
      <c r="C115">
        <f t="shared" si="6"/>
        <v>1.53</v>
      </c>
      <c r="D115">
        <f t="shared" si="7"/>
        <v>358.5</v>
      </c>
      <c r="E115">
        <v>85.5</v>
      </c>
      <c r="G115">
        <f t="shared" si="8"/>
        <v>358.5</v>
      </c>
      <c r="H115" s="2">
        <f t="shared" si="9"/>
        <v>3.8142253521126759</v>
      </c>
      <c r="J115" s="2">
        <f t="shared" si="10"/>
        <v>2.7894002789400281</v>
      </c>
      <c r="K115" s="3">
        <f t="shared" si="11"/>
        <v>2.6774751818737155</v>
      </c>
    </row>
    <row r="116" spans="1:11" x14ac:dyDescent="0.25">
      <c r="A116" s="4" t="s">
        <v>117</v>
      </c>
      <c r="B116" s="4">
        <v>302</v>
      </c>
      <c r="C116">
        <f t="shared" si="6"/>
        <v>1.51</v>
      </c>
      <c r="D116">
        <f t="shared" si="7"/>
        <v>358.5</v>
      </c>
      <c r="E116">
        <v>85.5</v>
      </c>
      <c r="G116">
        <f t="shared" si="8"/>
        <v>358.5</v>
      </c>
      <c r="H116" s="2">
        <f t="shared" si="9"/>
        <v>3.7643661971830982</v>
      </c>
      <c r="J116" s="2">
        <f t="shared" si="10"/>
        <v>2.7894002789400281</v>
      </c>
      <c r="K116" s="3">
        <f t="shared" si="11"/>
        <v>2.651159012718693</v>
      </c>
    </row>
    <row r="117" spans="1:11" x14ac:dyDescent="0.25">
      <c r="A117" s="4" t="s">
        <v>118</v>
      </c>
      <c r="B117" s="4">
        <v>300</v>
      </c>
      <c r="C117">
        <f t="shared" si="6"/>
        <v>1.5</v>
      </c>
      <c r="D117">
        <f t="shared" si="7"/>
        <v>358.5</v>
      </c>
      <c r="E117">
        <v>85.5</v>
      </c>
      <c r="G117">
        <f t="shared" si="8"/>
        <v>358.5</v>
      </c>
      <c r="H117" s="2">
        <f t="shared" si="9"/>
        <v>3.73943661971831</v>
      </c>
      <c r="J117" s="2">
        <f t="shared" si="10"/>
        <v>2.7894002789400281</v>
      </c>
      <c r="K117" s="3">
        <f t="shared" si="11"/>
        <v>2.6378699272813564</v>
      </c>
    </row>
    <row r="118" spans="1:11" x14ac:dyDescent="0.25">
      <c r="A118" s="4" t="s">
        <v>119</v>
      </c>
      <c r="B118" s="4">
        <v>298</v>
      </c>
      <c r="C118">
        <f t="shared" si="6"/>
        <v>1.49</v>
      </c>
      <c r="D118">
        <f t="shared" si="7"/>
        <v>357.9</v>
      </c>
      <c r="E118">
        <v>84.9</v>
      </c>
      <c r="G118">
        <f t="shared" si="8"/>
        <v>357.9</v>
      </c>
      <c r="H118" s="2">
        <f t="shared" si="9"/>
        <v>3.7145070422535214</v>
      </c>
      <c r="J118" s="2">
        <f t="shared" si="10"/>
        <v>2.7940765576976809</v>
      </c>
      <c r="K118" s="3">
        <f t="shared" si="11"/>
        <v>2.6244919509797628</v>
      </c>
    </row>
    <row r="119" spans="1:11" x14ac:dyDescent="0.25">
      <c r="A119" s="4" t="s">
        <v>120</v>
      </c>
      <c r="B119" s="4">
        <v>295</v>
      </c>
      <c r="C119">
        <f t="shared" si="6"/>
        <v>1.4750000000000001</v>
      </c>
      <c r="D119">
        <f t="shared" si="7"/>
        <v>357.9</v>
      </c>
      <c r="E119">
        <v>84.9</v>
      </c>
      <c r="G119">
        <f t="shared" si="8"/>
        <v>357.9</v>
      </c>
      <c r="H119" s="2">
        <f t="shared" si="9"/>
        <v>3.6771126760563377</v>
      </c>
      <c r="J119" s="2">
        <f t="shared" si="10"/>
        <v>2.7940765576976809</v>
      </c>
      <c r="K119" s="3">
        <f t="shared" si="11"/>
        <v>2.6042556906485936</v>
      </c>
    </row>
    <row r="120" spans="1:11" x14ac:dyDescent="0.25">
      <c r="A120" s="4" t="s">
        <v>121</v>
      </c>
      <c r="B120" s="4">
        <v>294</v>
      </c>
      <c r="C120">
        <f t="shared" si="6"/>
        <v>1.47</v>
      </c>
      <c r="D120">
        <f t="shared" si="7"/>
        <v>357.9</v>
      </c>
      <c r="E120">
        <v>84.9</v>
      </c>
      <c r="G120">
        <f t="shared" si="8"/>
        <v>357.9</v>
      </c>
      <c r="H120" s="2">
        <f t="shared" si="9"/>
        <v>3.6646478873239436</v>
      </c>
      <c r="J120" s="2">
        <f t="shared" si="10"/>
        <v>2.7940765576976809</v>
      </c>
      <c r="K120" s="3">
        <f t="shared" si="11"/>
        <v>2.5974645126463174</v>
      </c>
    </row>
    <row r="121" spans="1:11" x14ac:dyDescent="0.25">
      <c r="A121" s="4" t="s">
        <v>122</v>
      </c>
      <c r="B121" s="4">
        <v>290</v>
      </c>
      <c r="C121">
        <f t="shared" si="6"/>
        <v>1.45</v>
      </c>
      <c r="D121">
        <f t="shared" si="7"/>
        <v>357.9</v>
      </c>
      <c r="E121">
        <v>84.9</v>
      </c>
      <c r="G121">
        <f t="shared" si="8"/>
        <v>357.9</v>
      </c>
      <c r="H121" s="2">
        <f t="shared" si="9"/>
        <v>3.6147887323943659</v>
      </c>
      <c r="J121" s="2">
        <f t="shared" si="10"/>
        <v>2.7940765576976809</v>
      </c>
      <c r="K121" s="3">
        <f t="shared" si="11"/>
        <v>2.5700668239299933</v>
      </c>
    </row>
    <row r="122" spans="1:11" x14ac:dyDescent="0.25">
      <c r="A122" s="4" t="s">
        <v>123</v>
      </c>
      <c r="B122" s="4">
        <v>288</v>
      </c>
      <c r="C122">
        <f t="shared" si="6"/>
        <v>1.44</v>
      </c>
      <c r="D122">
        <f t="shared" si="7"/>
        <v>357</v>
      </c>
      <c r="E122">
        <v>84</v>
      </c>
      <c r="G122">
        <f t="shared" si="8"/>
        <v>357</v>
      </c>
      <c r="H122" s="2">
        <f t="shared" si="9"/>
        <v>3.5898591549295773</v>
      </c>
      <c r="J122" s="2">
        <f t="shared" si="10"/>
        <v>2.8011204481792715</v>
      </c>
      <c r="K122" s="3">
        <f t="shared" si="11"/>
        <v>2.5562259382408459</v>
      </c>
    </row>
    <row r="123" spans="1:11" x14ac:dyDescent="0.25">
      <c r="A123" s="4" t="s">
        <v>124</v>
      </c>
      <c r="B123" s="4">
        <v>287</v>
      </c>
      <c r="C123">
        <f t="shared" si="6"/>
        <v>1.4350000000000001</v>
      </c>
      <c r="D123">
        <f t="shared" si="7"/>
        <v>357</v>
      </c>
      <c r="E123">
        <v>84</v>
      </c>
      <c r="G123">
        <f t="shared" si="8"/>
        <v>357</v>
      </c>
      <c r="H123" s="2">
        <f t="shared" si="9"/>
        <v>3.5773943661971832</v>
      </c>
      <c r="J123" s="2">
        <f t="shared" si="10"/>
        <v>2.8011204481792715</v>
      </c>
      <c r="K123" s="3">
        <f t="shared" si="11"/>
        <v>2.5492694094881965</v>
      </c>
    </row>
    <row r="124" spans="1:11" x14ac:dyDescent="0.25">
      <c r="A124" s="4" t="s">
        <v>125</v>
      </c>
      <c r="B124" s="4">
        <v>285</v>
      </c>
      <c r="C124">
        <f t="shared" si="6"/>
        <v>1.425</v>
      </c>
      <c r="D124">
        <f t="shared" si="7"/>
        <v>357</v>
      </c>
      <c r="E124">
        <v>84</v>
      </c>
      <c r="G124">
        <f t="shared" si="8"/>
        <v>357</v>
      </c>
      <c r="H124" s="2">
        <f t="shared" si="9"/>
        <v>3.5524647887323941</v>
      </c>
      <c r="J124" s="2">
        <f t="shared" si="10"/>
        <v>2.8011204481792715</v>
      </c>
      <c r="K124" s="3">
        <f t="shared" si="11"/>
        <v>2.5352833385062548</v>
      </c>
    </row>
    <row r="125" spans="1:11" x14ac:dyDescent="0.25">
      <c r="A125" s="4" t="s">
        <v>126</v>
      </c>
      <c r="B125" s="4">
        <v>282</v>
      </c>
      <c r="C125">
        <f t="shared" si="6"/>
        <v>1.41</v>
      </c>
      <c r="D125">
        <f t="shared" si="7"/>
        <v>356.5</v>
      </c>
      <c r="E125">
        <v>83.5</v>
      </c>
      <c r="G125">
        <f t="shared" si="8"/>
        <v>356.5</v>
      </c>
      <c r="H125" s="2">
        <f t="shared" si="9"/>
        <v>3.515070422535211</v>
      </c>
      <c r="J125" s="2">
        <f t="shared" si="10"/>
        <v>2.8050490883590462</v>
      </c>
      <c r="K125" s="3">
        <f t="shared" si="11"/>
        <v>2.5141191198451809</v>
      </c>
    </row>
    <row r="126" spans="1:11" x14ac:dyDescent="0.25">
      <c r="A126" s="4" t="s">
        <v>127</v>
      </c>
      <c r="B126" s="4">
        <v>278</v>
      </c>
      <c r="C126">
        <f t="shared" si="6"/>
        <v>1.39</v>
      </c>
      <c r="D126">
        <f t="shared" si="7"/>
        <v>356.5</v>
      </c>
      <c r="E126">
        <v>83.5</v>
      </c>
      <c r="G126">
        <f t="shared" si="8"/>
        <v>356.5</v>
      </c>
      <c r="H126" s="2">
        <f t="shared" si="9"/>
        <v>3.4652112676056337</v>
      </c>
      <c r="J126" s="2">
        <f t="shared" si="10"/>
        <v>2.8050490883590462</v>
      </c>
      <c r="K126" s="3">
        <f t="shared" si="11"/>
        <v>2.4855472053502279</v>
      </c>
    </row>
    <row r="127" spans="1:11" x14ac:dyDescent="0.25">
      <c r="A127" s="4" t="s">
        <v>128</v>
      </c>
      <c r="B127" s="4">
        <v>277</v>
      </c>
      <c r="C127">
        <f t="shared" si="6"/>
        <v>1.385</v>
      </c>
      <c r="D127">
        <f t="shared" si="7"/>
        <v>356.5</v>
      </c>
      <c r="E127">
        <v>83.5</v>
      </c>
      <c r="G127">
        <f t="shared" si="8"/>
        <v>356.5</v>
      </c>
      <c r="H127" s="2">
        <f t="shared" si="9"/>
        <v>3.4527464788732396</v>
      </c>
      <c r="J127" s="2">
        <f t="shared" si="10"/>
        <v>2.8050490883590462</v>
      </c>
      <c r="K127" s="3">
        <f t="shared" si="11"/>
        <v>2.4783399903436312</v>
      </c>
    </row>
    <row r="128" spans="1:11" x14ac:dyDescent="0.25">
      <c r="A128" s="4" t="s">
        <v>129</v>
      </c>
      <c r="B128" s="4">
        <v>277</v>
      </c>
      <c r="C128">
        <f t="shared" si="6"/>
        <v>1.385</v>
      </c>
      <c r="D128">
        <f t="shared" si="7"/>
        <v>356</v>
      </c>
      <c r="E128">
        <v>83</v>
      </c>
      <c r="G128">
        <f t="shared" si="8"/>
        <v>356</v>
      </c>
      <c r="H128" s="2">
        <f t="shared" si="9"/>
        <v>3.4527464788732396</v>
      </c>
      <c r="J128" s="2">
        <f t="shared" si="10"/>
        <v>2.808988764044944</v>
      </c>
      <c r="K128" s="3">
        <f t="shared" si="11"/>
        <v>2.4783399903436312</v>
      </c>
    </row>
    <row r="129" spans="1:11" x14ac:dyDescent="0.25">
      <c r="A129" s="4" t="s">
        <v>130</v>
      </c>
      <c r="B129" s="4">
        <v>276</v>
      </c>
      <c r="C129">
        <f t="shared" si="6"/>
        <v>1.38</v>
      </c>
      <c r="D129">
        <f t="shared" si="7"/>
        <v>356</v>
      </c>
      <c r="E129">
        <v>83</v>
      </c>
      <c r="G129">
        <f t="shared" si="8"/>
        <v>356</v>
      </c>
      <c r="H129" s="2">
        <f t="shared" si="9"/>
        <v>3.4402816901408451</v>
      </c>
      <c r="J129" s="2">
        <f t="shared" si="10"/>
        <v>2.808988764044944</v>
      </c>
      <c r="K129" s="3">
        <f t="shared" si="11"/>
        <v>2.4711067094032542</v>
      </c>
    </row>
    <row r="130" spans="1:11" x14ac:dyDescent="0.25">
      <c r="A130" s="4" t="s">
        <v>131</v>
      </c>
      <c r="B130" s="4">
        <v>274</v>
      </c>
      <c r="C130">
        <f t="shared" si="6"/>
        <v>1.37</v>
      </c>
      <c r="D130">
        <f t="shared" si="7"/>
        <v>356</v>
      </c>
      <c r="E130">
        <v>83</v>
      </c>
      <c r="G130">
        <f t="shared" si="8"/>
        <v>356</v>
      </c>
      <c r="H130" s="2">
        <f t="shared" si="9"/>
        <v>3.4153521126760564</v>
      </c>
      <c r="J130" s="2">
        <f t="shared" si="10"/>
        <v>2.808988764044944</v>
      </c>
      <c r="K130" s="3">
        <f t="shared" si="11"/>
        <v>2.4565611907450946</v>
      </c>
    </row>
    <row r="131" spans="1:11" x14ac:dyDescent="0.25">
      <c r="A131" s="4" t="s">
        <v>132</v>
      </c>
      <c r="B131" s="4">
        <v>273</v>
      </c>
      <c r="C131">
        <f t="shared" si="6"/>
        <v>1.365</v>
      </c>
      <c r="D131">
        <f t="shared" si="7"/>
        <v>355.3</v>
      </c>
      <c r="E131">
        <v>82.3</v>
      </c>
      <c r="G131">
        <f t="shared" si="8"/>
        <v>355.3</v>
      </c>
      <c r="H131" s="2">
        <f t="shared" si="9"/>
        <v>3.4028873239436619</v>
      </c>
      <c r="J131" s="2">
        <f t="shared" si="10"/>
        <v>2.8145229383619474</v>
      </c>
      <c r="K131" s="3">
        <f t="shared" si="11"/>
        <v>2.4492485683388736</v>
      </c>
    </row>
    <row r="132" spans="1:11" x14ac:dyDescent="0.25">
      <c r="A132" s="4" t="s">
        <v>133</v>
      </c>
      <c r="B132" s="4">
        <v>271</v>
      </c>
      <c r="C132">
        <f t="shared" si="6"/>
        <v>1.355</v>
      </c>
      <c r="D132">
        <f t="shared" si="7"/>
        <v>355.3</v>
      </c>
      <c r="E132">
        <v>82.3</v>
      </c>
      <c r="G132">
        <f t="shared" si="8"/>
        <v>355.3</v>
      </c>
      <c r="H132" s="2">
        <f t="shared" si="9"/>
        <v>3.3779577464788733</v>
      </c>
      <c r="J132" s="2">
        <f t="shared" si="10"/>
        <v>2.8145229383619474</v>
      </c>
      <c r="K132" s="3">
        <f t="shared" si="11"/>
        <v>2.4345426197283557</v>
      </c>
    </row>
    <row r="133" spans="1:11" x14ac:dyDescent="0.25">
      <c r="A133" s="4" t="s">
        <v>134</v>
      </c>
      <c r="B133" s="4">
        <v>269</v>
      </c>
      <c r="C133">
        <f t="shared" si="6"/>
        <v>1.345</v>
      </c>
      <c r="D133">
        <f t="shared" si="7"/>
        <v>355.3</v>
      </c>
      <c r="E133">
        <v>82.3</v>
      </c>
      <c r="G133">
        <f t="shared" si="8"/>
        <v>355.3</v>
      </c>
      <c r="H133" s="2">
        <f t="shared" si="9"/>
        <v>3.3530281690140846</v>
      </c>
      <c r="J133" s="2">
        <f t="shared" si="10"/>
        <v>2.8145229383619474</v>
      </c>
      <c r="K133" s="3">
        <f t="shared" si="11"/>
        <v>2.4197277371726322</v>
      </c>
    </row>
    <row r="134" spans="1:11" x14ac:dyDescent="0.25">
      <c r="A134" s="4" t="s">
        <v>135</v>
      </c>
      <c r="B134" s="4">
        <v>269</v>
      </c>
      <c r="C134">
        <f t="shared" si="6"/>
        <v>1.345</v>
      </c>
      <c r="D134">
        <f t="shared" si="7"/>
        <v>354.5</v>
      </c>
      <c r="E134">
        <v>81.5</v>
      </c>
      <c r="G134">
        <f t="shared" si="8"/>
        <v>354.5</v>
      </c>
      <c r="H134" s="2">
        <f t="shared" si="9"/>
        <v>3.3530281690140846</v>
      </c>
      <c r="J134" s="2">
        <f t="shared" si="10"/>
        <v>2.8208744710860367</v>
      </c>
      <c r="K134" s="3">
        <f t="shared" si="11"/>
        <v>2.4197277371726322</v>
      </c>
    </row>
    <row r="135" spans="1:11" x14ac:dyDescent="0.25">
      <c r="A135" s="4" t="s">
        <v>136</v>
      </c>
      <c r="B135" s="4">
        <v>266</v>
      </c>
      <c r="C135">
        <f t="shared" si="6"/>
        <v>1.33</v>
      </c>
      <c r="D135">
        <f t="shared" si="7"/>
        <v>354.5</v>
      </c>
      <c r="E135">
        <v>81.5</v>
      </c>
      <c r="G135">
        <f t="shared" si="8"/>
        <v>354.5</v>
      </c>
      <c r="H135" s="2">
        <f t="shared" si="9"/>
        <v>3.3156338028169015</v>
      </c>
      <c r="J135" s="2">
        <f t="shared" si="10"/>
        <v>2.8208744710860367</v>
      </c>
      <c r="K135" s="3">
        <f t="shared" si="11"/>
        <v>2.3972975955323523</v>
      </c>
    </row>
    <row r="136" spans="1:11" x14ac:dyDescent="0.25">
      <c r="A136" s="4" t="s">
        <v>137</v>
      </c>
      <c r="B136" s="4">
        <v>265</v>
      </c>
      <c r="C136">
        <f t="shared" si="6"/>
        <v>1.325</v>
      </c>
      <c r="D136">
        <f t="shared" si="7"/>
        <v>354.5</v>
      </c>
      <c r="E136">
        <v>81.5</v>
      </c>
      <c r="G136">
        <f t="shared" si="8"/>
        <v>354.5</v>
      </c>
      <c r="H136" s="2">
        <f t="shared" si="9"/>
        <v>3.3031690140845069</v>
      </c>
      <c r="J136" s="2">
        <f t="shared" si="10"/>
        <v>2.8208744710860367</v>
      </c>
      <c r="K136" s="3">
        <f t="shared" si="11"/>
        <v>2.3897646299413986</v>
      </c>
    </row>
    <row r="137" spans="1:11" x14ac:dyDescent="0.25">
      <c r="A137" s="4" t="s">
        <v>138</v>
      </c>
      <c r="B137" s="4">
        <v>261</v>
      </c>
      <c r="C137">
        <f t="shared" si="6"/>
        <v>1.3049999999999999</v>
      </c>
      <c r="D137">
        <f t="shared" si="7"/>
        <v>354.5</v>
      </c>
      <c r="E137">
        <v>81.5</v>
      </c>
      <c r="G137">
        <f t="shared" si="8"/>
        <v>354.5</v>
      </c>
      <c r="H137" s="2">
        <f t="shared" si="9"/>
        <v>3.2533098591549297</v>
      </c>
      <c r="J137" s="2">
        <f t="shared" si="10"/>
        <v>2.8208744710860367</v>
      </c>
      <c r="K137" s="3">
        <f t="shared" si="11"/>
        <v>2.3593457926143411</v>
      </c>
    </row>
    <row r="138" spans="1:11" x14ac:dyDescent="0.25">
      <c r="A138" s="4" t="s">
        <v>139</v>
      </c>
      <c r="B138" s="4">
        <v>260</v>
      </c>
      <c r="C138">
        <f t="shared" si="6"/>
        <v>1.3</v>
      </c>
      <c r="D138">
        <f t="shared" si="7"/>
        <v>353.8</v>
      </c>
      <c r="E138">
        <v>80.8</v>
      </c>
      <c r="G138">
        <f t="shared" si="8"/>
        <v>353.8</v>
      </c>
      <c r="H138" s="2">
        <f t="shared" si="9"/>
        <v>3.2408450704225351</v>
      </c>
      <c r="J138" s="2">
        <f t="shared" si="10"/>
        <v>2.8264556246466928</v>
      </c>
      <c r="K138" s="3">
        <f t="shared" si="11"/>
        <v>2.3516682400000093</v>
      </c>
    </row>
    <row r="139" spans="1:11" x14ac:dyDescent="0.25">
      <c r="A139" s="4" t="s">
        <v>140</v>
      </c>
      <c r="B139" s="4">
        <v>264</v>
      </c>
      <c r="C139">
        <f t="shared" ref="C139:C202" si="12">B139/200</f>
        <v>1.32</v>
      </c>
      <c r="D139">
        <f t="shared" ref="D139:D202" si="13">273+E139</f>
        <v>353.8</v>
      </c>
      <c r="E139">
        <v>80.8</v>
      </c>
      <c r="G139">
        <f t="shared" ref="G139:G202" si="14">D139</f>
        <v>353.8</v>
      </c>
      <c r="H139" s="2">
        <f t="shared" ref="H139:H202" si="15">1.77*B139/142</f>
        <v>3.2907042253521128</v>
      </c>
      <c r="J139" s="2">
        <f t="shared" ref="J139:J202" si="16">1000/G139</f>
        <v>2.8264556246466928</v>
      </c>
      <c r="K139" s="3">
        <f t="shared" ref="K139:K202" si="17">LN(H139*H139)</f>
        <v>2.3822031842615865</v>
      </c>
    </row>
    <row r="140" spans="1:11" x14ac:dyDescent="0.25">
      <c r="A140" s="4" t="s">
        <v>141</v>
      </c>
      <c r="B140" s="4">
        <v>261</v>
      </c>
      <c r="C140">
        <f t="shared" si="12"/>
        <v>1.3049999999999999</v>
      </c>
      <c r="D140">
        <f t="shared" si="13"/>
        <v>353.8</v>
      </c>
      <c r="E140">
        <v>80.8</v>
      </c>
      <c r="G140">
        <f t="shared" si="14"/>
        <v>353.8</v>
      </c>
      <c r="H140" s="2">
        <f t="shared" si="15"/>
        <v>3.2533098591549297</v>
      </c>
      <c r="J140" s="2">
        <f t="shared" si="16"/>
        <v>2.8264556246466928</v>
      </c>
      <c r="K140" s="3">
        <f t="shared" si="17"/>
        <v>2.3593457926143411</v>
      </c>
    </row>
    <row r="141" spans="1:11" x14ac:dyDescent="0.25">
      <c r="A141" s="4" t="s">
        <v>142</v>
      </c>
      <c r="B141" s="4">
        <v>258</v>
      </c>
      <c r="C141">
        <f t="shared" si="12"/>
        <v>1.29</v>
      </c>
      <c r="D141">
        <f t="shared" si="13"/>
        <v>353.4</v>
      </c>
      <c r="E141">
        <v>80.400000000000006</v>
      </c>
      <c r="G141">
        <f t="shared" si="14"/>
        <v>353.4</v>
      </c>
      <c r="H141" s="2">
        <f t="shared" si="15"/>
        <v>3.2159154929577465</v>
      </c>
      <c r="J141" s="2">
        <f t="shared" si="16"/>
        <v>2.8296547821165818</v>
      </c>
      <c r="K141" s="3">
        <f t="shared" si="17"/>
        <v>2.3362241478121888</v>
      </c>
    </row>
    <row r="142" spans="1:11" x14ac:dyDescent="0.25">
      <c r="A142" s="4" t="s">
        <v>143</v>
      </c>
      <c r="B142" s="4">
        <v>257</v>
      </c>
      <c r="C142">
        <f t="shared" si="12"/>
        <v>1.2849999999999999</v>
      </c>
      <c r="D142">
        <f t="shared" si="13"/>
        <v>353.4</v>
      </c>
      <c r="E142">
        <v>80.400000000000006</v>
      </c>
      <c r="G142">
        <f t="shared" si="14"/>
        <v>353.4</v>
      </c>
      <c r="H142" s="2">
        <f t="shared" si="15"/>
        <v>3.2034507042253519</v>
      </c>
      <c r="J142" s="2">
        <f t="shared" si="16"/>
        <v>2.8296547821165818</v>
      </c>
      <c r="K142" s="3">
        <f t="shared" si="17"/>
        <v>2.3284571477593934</v>
      </c>
    </row>
    <row r="143" spans="1:11" x14ac:dyDescent="0.25">
      <c r="A143" s="4" t="s">
        <v>144</v>
      </c>
      <c r="B143" s="4">
        <v>256</v>
      </c>
      <c r="C143">
        <f t="shared" si="12"/>
        <v>1.28</v>
      </c>
      <c r="D143">
        <f t="shared" si="13"/>
        <v>353.4</v>
      </c>
      <c r="E143">
        <v>80.400000000000006</v>
      </c>
      <c r="G143">
        <f t="shared" si="14"/>
        <v>353.4</v>
      </c>
      <c r="H143" s="2">
        <f t="shared" si="15"/>
        <v>3.1909859154929578</v>
      </c>
      <c r="J143" s="2">
        <f t="shared" si="16"/>
        <v>2.8296547821165818</v>
      </c>
      <c r="K143" s="3">
        <f t="shared" si="17"/>
        <v>2.3206598669280791</v>
      </c>
    </row>
    <row r="144" spans="1:11" x14ac:dyDescent="0.25">
      <c r="A144" s="4" t="s">
        <v>145</v>
      </c>
      <c r="B144" s="4">
        <v>254</v>
      </c>
      <c r="C144">
        <f t="shared" si="12"/>
        <v>1.27</v>
      </c>
      <c r="D144">
        <f t="shared" si="13"/>
        <v>352.8</v>
      </c>
      <c r="E144">
        <v>79.8</v>
      </c>
      <c r="G144">
        <f t="shared" si="14"/>
        <v>352.8</v>
      </c>
      <c r="H144" s="2">
        <f t="shared" si="15"/>
        <v>3.1660563380281688</v>
      </c>
      <c r="J144" s="2">
        <f t="shared" si="16"/>
        <v>2.8344671201814058</v>
      </c>
      <c r="K144" s="3">
        <f t="shared" si="17"/>
        <v>2.3049735120060273</v>
      </c>
    </row>
    <row r="145" spans="1:11" x14ac:dyDescent="0.25">
      <c r="A145" s="4" t="s">
        <v>146</v>
      </c>
      <c r="B145" s="4">
        <v>254</v>
      </c>
      <c r="C145">
        <f t="shared" si="12"/>
        <v>1.27</v>
      </c>
      <c r="D145">
        <f t="shared" si="13"/>
        <v>352.8</v>
      </c>
      <c r="E145">
        <v>79.8</v>
      </c>
      <c r="G145">
        <f t="shared" si="14"/>
        <v>352.8</v>
      </c>
      <c r="H145" s="2">
        <f t="shared" si="15"/>
        <v>3.1660563380281688</v>
      </c>
      <c r="J145" s="2">
        <f t="shared" si="16"/>
        <v>2.8344671201814058</v>
      </c>
      <c r="K145" s="3">
        <f t="shared" si="17"/>
        <v>2.3049735120060273</v>
      </c>
    </row>
    <row r="146" spans="1:11" x14ac:dyDescent="0.25">
      <c r="A146" s="4" t="s">
        <v>147</v>
      </c>
      <c r="B146" s="4">
        <v>251</v>
      </c>
      <c r="C146">
        <f t="shared" si="12"/>
        <v>1.2549999999999999</v>
      </c>
      <c r="D146">
        <f t="shared" si="13"/>
        <v>352.8</v>
      </c>
      <c r="E146">
        <v>79.8</v>
      </c>
      <c r="G146">
        <f t="shared" si="14"/>
        <v>352.8</v>
      </c>
      <c r="H146" s="2">
        <f t="shared" si="15"/>
        <v>3.1286619718309856</v>
      </c>
      <c r="J146" s="2">
        <f t="shared" si="16"/>
        <v>2.8344671201814058</v>
      </c>
      <c r="K146" s="3">
        <f t="shared" si="17"/>
        <v>2.2812108562325215</v>
      </c>
    </row>
    <row r="147" spans="1:11" x14ac:dyDescent="0.25">
      <c r="A147" s="4" t="s">
        <v>148</v>
      </c>
      <c r="B147" s="4">
        <v>252</v>
      </c>
      <c r="C147">
        <f t="shared" si="12"/>
        <v>1.26</v>
      </c>
      <c r="D147">
        <f t="shared" si="13"/>
        <v>352.4</v>
      </c>
      <c r="E147">
        <v>79.400000000000006</v>
      </c>
      <c r="G147">
        <f t="shared" si="14"/>
        <v>352.4</v>
      </c>
      <c r="H147" s="2">
        <f t="shared" si="15"/>
        <v>3.1411267605633806</v>
      </c>
      <c r="J147" s="2">
        <f t="shared" si="16"/>
        <v>2.8376844494892168</v>
      </c>
      <c r="K147" s="3">
        <f t="shared" si="17"/>
        <v>2.2891631529918008</v>
      </c>
    </row>
    <row r="148" spans="1:11" x14ac:dyDescent="0.25">
      <c r="A148" s="4" t="s">
        <v>149</v>
      </c>
      <c r="B148" s="4">
        <v>249</v>
      </c>
      <c r="C148">
        <f t="shared" si="12"/>
        <v>1.2450000000000001</v>
      </c>
      <c r="D148">
        <f t="shared" si="13"/>
        <v>352.4</v>
      </c>
      <c r="E148">
        <v>79.400000000000006</v>
      </c>
      <c r="G148">
        <f t="shared" si="14"/>
        <v>352.4</v>
      </c>
      <c r="H148" s="2">
        <f t="shared" si="15"/>
        <v>3.1037323943661974</v>
      </c>
      <c r="J148" s="2">
        <f t="shared" si="16"/>
        <v>2.8376844494892168</v>
      </c>
      <c r="K148" s="3">
        <f t="shared" si="17"/>
        <v>2.2652107708983693</v>
      </c>
    </row>
    <row r="149" spans="1:11" x14ac:dyDescent="0.25">
      <c r="A149" s="4" t="s">
        <v>150</v>
      </c>
      <c r="B149" s="4">
        <v>248</v>
      </c>
      <c r="C149">
        <f t="shared" si="12"/>
        <v>1.24</v>
      </c>
      <c r="D149">
        <f t="shared" si="13"/>
        <v>352.4</v>
      </c>
      <c r="E149">
        <v>79.400000000000006</v>
      </c>
      <c r="G149">
        <f t="shared" si="14"/>
        <v>352.4</v>
      </c>
      <c r="H149" s="2">
        <f t="shared" si="15"/>
        <v>3.0912676056338029</v>
      </c>
      <c r="J149" s="2">
        <f t="shared" si="16"/>
        <v>2.8376844494892168</v>
      </c>
      <c r="K149" s="3">
        <f t="shared" si="17"/>
        <v>2.2571624702989186</v>
      </c>
    </row>
    <row r="150" spans="1:11" x14ac:dyDescent="0.25">
      <c r="A150" s="4" t="s">
        <v>151</v>
      </c>
      <c r="B150" s="4">
        <v>246</v>
      </c>
      <c r="C150">
        <f t="shared" si="12"/>
        <v>1.23</v>
      </c>
      <c r="D150">
        <f t="shared" si="13"/>
        <v>352.1</v>
      </c>
      <c r="E150">
        <v>79.099999999999994</v>
      </c>
      <c r="G150">
        <f t="shared" si="14"/>
        <v>352.1</v>
      </c>
      <c r="H150" s="2">
        <f t="shared" si="15"/>
        <v>3.0663380281690142</v>
      </c>
      <c r="J150" s="2">
        <f t="shared" si="16"/>
        <v>2.8401022436807724</v>
      </c>
      <c r="K150" s="3">
        <f t="shared" si="17"/>
        <v>2.2409680498336799</v>
      </c>
    </row>
    <row r="151" spans="1:11" x14ac:dyDescent="0.25">
      <c r="A151" s="4" t="s">
        <v>152</v>
      </c>
      <c r="B151" s="4">
        <v>246</v>
      </c>
      <c r="C151">
        <f t="shared" si="12"/>
        <v>1.23</v>
      </c>
      <c r="D151">
        <f t="shared" si="13"/>
        <v>352.1</v>
      </c>
      <c r="E151">
        <v>79.099999999999994</v>
      </c>
      <c r="G151">
        <f t="shared" si="14"/>
        <v>352.1</v>
      </c>
      <c r="H151" s="2">
        <f t="shared" si="15"/>
        <v>3.0663380281690142</v>
      </c>
      <c r="J151" s="2">
        <f t="shared" si="16"/>
        <v>2.8401022436807724</v>
      </c>
      <c r="K151" s="3">
        <f t="shared" si="17"/>
        <v>2.2409680498336799</v>
      </c>
    </row>
    <row r="152" spans="1:11" x14ac:dyDescent="0.25">
      <c r="A152" s="4" t="s">
        <v>153</v>
      </c>
      <c r="B152" s="4">
        <v>244</v>
      </c>
      <c r="C152">
        <f t="shared" si="12"/>
        <v>1.22</v>
      </c>
      <c r="D152">
        <f t="shared" si="13"/>
        <v>352.1</v>
      </c>
      <c r="E152">
        <v>79.099999999999994</v>
      </c>
      <c r="G152">
        <f t="shared" si="14"/>
        <v>352.1</v>
      </c>
      <c r="H152" s="2">
        <f t="shared" si="15"/>
        <v>3.0414084507042252</v>
      </c>
      <c r="J152" s="2">
        <f t="shared" si="16"/>
        <v>2.8401022436807724</v>
      </c>
      <c r="K152" s="3">
        <f t="shared" si="17"/>
        <v>2.2246414285553575</v>
      </c>
    </row>
    <row r="153" spans="1:11" x14ac:dyDescent="0.25">
      <c r="A153" s="4" t="s">
        <v>154</v>
      </c>
      <c r="B153" s="4">
        <v>244</v>
      </c>
      <c r="C153">
        <f t="shared" si="12"/>
        <v>1.22</v>
      </c>
      <c r="D153">
        <f t="shared" si="13"/>
        <v>352.1</v>
      </c>
      <c r="E153">
        <v>79.099999999999994</v>
      </c>
      <c r="G153">
        <f t="shared" si="14"/>
        <v>352.1</v>
      </c>
      <c r="H153" s="2">
        <f t="shared" si="15"/>
        <v>3.0414084507042252</v>
      </c>
      <c r="J153" s="2">
        <f t="shared" si="16"/>
        <v>2.8401022436807724</v>
      </c>
      <c r="K153" s="3">
        <f t="shared" si="17"/>
        <v>2.2246414285553575</v>
      </c>
    </row>
    <row r="154" spans="1:11" x14ac:dyDescent="0.25">
      <c r="A154" s="4" t="s">
        <v>155</v>
      </c>
      <c r="B154" s="4">
        <v>244</v>
      </c>
      <c r="C154">
        <f t="shared" si="12"/>
        <v>1.22</v>
      </c>
      <c r="D154">
        <f t="shared" si="13"/>
        <v>351.6</v>
      </c>
      <c r="E154">
        <v>78.599999999999994</v>
      </c>
      <c r="G154">
        <f t="shared" si="14"/>
        <v>351.6</v>
      </c>
      <c r="H154" s="2">
        <f t="shared" si="15"/>
        <v>3.0414084507042252</v>
      </c>
      <c r="J154" s="2">
        <f t="shared" si="16"/>
        <v>2.8441410693970419</v>
      </c>
      <c r="K154" s="3">
        <f t="shared" si="17"/>
        <v>2.2246414285553575</v>
      </c>
    </row>
    <row r="155" spans="1:11" x14ac:dyDescent="0.25">
      <c r="A155" s="4" t="s">
        <v>156</v>
      </c>
      <c r="B155" s="4">
        <v>243</v>
      </c>
      <c r="C155">
        <f t="shared" si="12"/>
        <v>1.2150000000000001</v>
      </c>
      <c r="D155">
        <f t="shared" si="13"/>
        <v>351.6</v>
      </c>
      <c r="E155">
        <v>78.599999999999994</v>
      </c>
      <c r="G155">
        <f t="shared" si="14"/>
        <v>351.6</v>
      </c>
      <c r="H155" s="2">
        <f t="shared" si="15"/>
        <v>3.0289436619718311</v>
      </c>
      <c r="J155" s="2">
        <f t="shared" si="16"/>
        <v>2.8441410693970419</v>
      </c>
      <c r="K155" s="3">
        <f t="shared" si="17"/>
        <v>2.216427864650051</v>
      </c>
    </row>
    <row r="156" spans="1:11" x14ac:dyDescent="0.25">
      <c r="A156" s="4" t="s">
        <v>157</v>
      </c>
      <c r="B156" s="4">
        <v>240</v>
      </c>
      <c r="C156">
        <f t="shared" si="12"/>
        <v>1.2</v>
      </c>
      <c r="D156">
        <f t="shared" si="13"/>
        <v>351.6</v>
      </c>
      <c r="E156">
        <v>78.599999999999994</v>
      </c>
      <c r="G156">
        <f t="shared" si="14"/>
        <v>351.6</v>
      </c>
      <c r="H156" s="2">
        <f t="shared" si="15"/>
        <v>2.9915492957746479</v>
      </c>
      <c r="J156" s="2">
        <f t="shared" si="16"/>
        <v>2.8441410693970419</v>
      </c>
      <c r="K156" s="3">
        <f t="shared" si="17"/>
        <v>2.1915828246529365</v>
      </c>
    </row>
    <row r="157" spans="1:11" x14ac:dyDescent="0.25">
      <c r="A157" s="4" t="s">
        <v>158</v>
      </c>
      <c r="B157" s="4">
        <v>240</v>
      </c>
      <c r="C157">
        <f t="shared" si="12"/>
        <v>1.2</v>
      </c>
      <c r="D157">
        <f t="shared" si="13"/>
        <v>351.1</v>
      </c>
      <c r="E157">
        <v>78.099999999999994</v>
      </c>
      <c r="G157">
        <f t="shared" si="14"/>
        <v>351.1</v>
      </c>
      <c r="H157" s="2">
        <f t="shared" si="15"/>
        <v>2.9915492957746479</v>
      </c>
      <c r="J157" s="2">
        <f t="shared" si="16"/>
        <v>2.8481913984619767</v>
      </c>
      <c r="K157" s="3">
        <f t="shared" si="17"/>
        <v>2.1915828246529365</v>
      </c>
    </row>
    <row r="158" spans="1:11" x14ac:dyDescent="0.25">
      <c r="A158" s="4" t="s">
        <v>159</v>
      </c>
      <c r="B158" s="4">
        <v>239</v>
      </c>
      <c r="C158">
        <f t="shared" si="12"/>
        <v>1.1950000000000001</v>
      </c>
      <c r="D158">
        <f t="shared" si="13"/>
        <v>351.1</v>
      </c>
      <c r="E158">
        <v>78.099999999999994</v>
      </c>
      <c r="G158">
        <f t="shared" si="14"/>
        <v>351.1</v>
      </c>
      <c r="H158" s="2">
        <f t="shared" si="15"/>
        <v>2.9790845070422538</v>
      </c>
      <c r="J158" s="2">
        <f t="shared" si="16"/>
        <v>2.8481913984619767</v>
      </c>
      <c r="K158" s="3">
        <f t="shared" si="17"/>
        <v>2.1832320818319757</v>
      </c>
    </row>
    <row r="159" spans="1:11" x14ac:dyDescent="0.25">
      <c r="A159" s="4" t="s">
        <v>160</v>
      </c>
      <c r="B159" s="4">
        <v>237</v>
      </c>
      <c r="C159">
        <f t="shared" si="12"/>
        <v>1.1850000000000001</v>
      </c>
      <c r="D159">
        <f t="shared" si="13"/>
        <v>351.1</v>
      </c>
      <c r="E159">
        <v>78.099999999999994</v>
      </c>
      <c r="G159">
        <f t="shared" si="14"/>
        <v>351.1</v>
      </c>
      <c r="H159" s="2">
        <f t="shared" si="15"/>
        <v>2.9541549295774647</v>
      </c>
      <c r="J159" s="2">
        <f t="shared" si="16"/>
        <v>2.8481913984619767</v>
      </c>
      <c r="K159" s="3">
        <f t="shared" si="17"/>
        <v>2.1664252602392167</v>
      </c>
    </row>
    <row r="160" spans="1:11" x14ac:dyDescent="0.25">
      <c r="A160" s="4" t="s">
        <v>161</v>
      </c>
      <c r="B160" s="4">
        <v>237</v>
      </c>
      <c r="C160">
        <f t="shared" si="12"/>
        <v>1.1850000000000001</v>
      </c>
      <c r="D160">
        <f t="shared" si="13"/>
        <v>350.8</v>
      </c>
      <c r="E160">
        <v>77.8</v>
      </c>
      <c r="G160">
        <f t="shared" si="14"/>
        <v>350.8</v>
      </c>
      <c r="H160" s="2">
        <f t="shared" si="15"/>
        <v>2.9541549295774647</v>
      </c>
      <c r="J160" s="2">
        <f t="shared" si="16"/>
        <v>2.8506271379703532</v>
      </c>
      <c r="K160" s="3">
        <f t="shared" si="17"/>
        <v>2.1664252602392167</v>
      </c>
    </row>
    <row r="161" spans="1:11" x14ac:dyDescent="0.25">
      <c r="A161" s="4" t="s">
        <v>162</v>
      </c>
      <c r="B161" s="4">
        <v>237</v>
      </c>
      <c r="C161">
        <f t="shared" si="12"/>
        <v>1.1850000000000001</v>
      </c>
      <c r="D161">
        <f t="shared" si="13"/>
        <v>350.8</v>
      </c>
      <c r="E161">
        <v>77.8</v>
      </c>
      <c r="G161">
        <f t="shared" si="14"/>
        <v>350.8</v>
      </c>
      <c r="H161" s="2">
        <f t="shared" si="15"/>
        <v>2.9541549295774647</v>
      </c>
      <c r="J161" s="2">
        <f t="shared" si="16"/>
        <v>2.8506271379703532</v>
      </c>
      <c r="K161" s="3">
        <f t="shared" si="17"/>
        <v>2.1664252602392167</v>
      </c>
    </row>
    <row r="162" spans="1:11" x14ac:dyDescent="0.25">
      <c r="A162" s="4" t="s">
        <v>163</v>
      </c>
      <c r="B162" s="4">
        <v>236</v>
      </c>
      <c r="C162">
        <f t="shared" si="12"/>
        <v>1.18</v>
      </c>
      <c r="D162">
        <f t="shared" si="13"/>
        <v>350.8</v>
      </c>
      <c r="E162">
        <v>77.8</v>
      </c>
      <c r="G162">
        <f t="shared" si="14"/>
        <v>350.8</v>
      </c>
      <c r="H162" s="2">
        <f t="shared" si="15"/>
        <v>2.9416901408450706</v>
      </c>
      <c r="J162" s="2">
        <f t="shared" si="16"/>
        <v>2.8506271379703532</v>
      </c>
      <c r="K162" s="3">
        <f t="shared" si="17"/>
        <v>2.1579685880201742</v>
      </c>
    </row>
    <row r="163" spans="1:11" x14ac:dyDescent="0.25">
      <c r="A163" s="4" t="s">
        <v>164</v>
      </c>
      <c r="B163" s="4">
        <v>235</v>
      </c>
      <c r="C163">
        <f t="shared" si="12"/>
        <v>1.175</v>
      </c>
      <c r="D163">
        <f t="shared" si="13"/>
        <v>350.4</v>
      </c>
      <c r="E163">
        <v>77.400000000000006</v>
      </c>
      <c r="G163">
        <f t="shared" si="14"/>
        <v>350.4</v>
      </c>
      <c r="H163" s="2">
        <f t="shared" si="15"/>
        <v>2.9292253521126761</v>
      </c>
      <c r="J163" s="2">
        <f t="shared" si="16"/>
        <v>2.8538812785388128</v>
      </c>
      <c r="K163" s="3">
        <f t="shared" si="17"/>
        <v>2.149476006257272</v>
      </c>
    </row>
    <row r="164" spans="1:11" x14ac:dyDescent="0.25">
      <c r="A164" s="4" t="s">
        <v>165</v>
      </c>
      <c r="B164" s="4">
        <v>233</v>
      </c>
      <c r="C164">
        <f t="shared" si="12"/>
        <v>1.165</v>
      </c>
      <c r="D164">
        <f t="shared" si="13"/>
        <v>350.4</v>
      </c>
      <c r="E164">
        <v>77.400000000000006</v>
      </c>
      <c r="G164">
        <f t="shared" si="14"/>
        <v>350.4</v>
      </c>
      <c r="H164" s="2">
        <f t="shared" si="15"/>
        <v>2.9042957746478875</v>
      </c>
      <c r="J164" s="2">
        <f t="shared" si="16"/>
        <v>2.8538812785388128</v>
      </c>
      <c r="K164" s="3">
        <f t="shared" si="17"/>
        <v>2.1323818851003553</v>
      </c>
    </row>
    <row r="165" spans="1:11" x14ac:dyDescent="0.25">
      <c r="A165" s="4" t="s">
        <v>166</v>
      </c>
      <c r="B165" s="4">
        <v>232</v>
      </c>
      <c r="C165">
        <f t="shared" si="12"/>
        <v>1.1599999999999999</v>
      </c>
      <c r="D165">
        <f t="shared" si="13"/>
        <v>350.4</v>
      </c>
      <c r="E165">
        <v>77.400000000000006</v>
      </c>
      <c r="G165">
        <f t="shared" si="14"/>
        <v>350.4</v>
      </c>
      <c r="H165" s="2">
        <f t="shared" si="15"/>
        <v>2.8918309859154929</v>
      </c>
      <c r="J165" s="2">
        <f t="shared" si="16"/>
        <v>2.8538812785388128</v>
      </c>
      <c r="K165" s="3">
        <f t="shared" si="17"/>
        <v>2.1237797213015739</v>
      </c>
    </row>
    <row r="166" spans="1:11" x14ac:dyDescent="0.25">
      <c r="A166" s="4" t="s">
        <v>167</v>
      </c>
      <c r="B166" s="4">
        <v>230</v>
      </c>
      <c r="C166">
        <f t="shared" si="12"/>
        <v>1.1499999999999999</v>
      </c>
      <c r="D166">
        <f t="shared" si="13"/>
        <v>350</v>
      </c>
      <c r="E166">
        <v>77</v>
      </c>
      <c r="G166">
        <f t="shared" si="14"/>
        <v>350</v>
      </c>
      <c r="H166" s="2">
        <f t="shared" si="15"/>
        <v>2.8669014084507043</v>
      </c>
      <c r="J166" s="2">
        <f t="shared" si="16"/>
        <v>2.8571428571428572</v>
      </c>
      <c r="K166" s="3">
        <f t="shared" si="17"/>
        <v>2.1064635958153448</v>
      </c>
    </row>
    <row r="167" spans="1:11" x14ac:dyDescent="0.25">
      <c r="A167" s="4" t="s">
        <v>168</v>
      </c>
      <c r="B167" s="4">
        <v>230</v>
      </c>
      <c r="C167">
        <f t="shared" si="12"/>
        <v>1.1499999999999999</v>
      </c>
      <c r="D167">
        <f t="shared" si="13"/>
        <v>350</v>
      </c>
      <c r="E167">
        <v>77</v>
      </c>
      <c r="G167">
        <f t="shared" si="14"/>
        <v>350</v>
      </c>
      <c r="H167" s="2">
        <f t="shared" si="15"/>
        <v>2.8669014084507043</v>
      </c>
      <c r="J167" s="2">
        <f t="shared" si="16"/>
        <v>2.8571428571428572</v>
      </c>
      <c r="K167" s="3">
        <f t="shared" si="17"/>
        <v>2.1064635958153448</v>
      </c>
    </row>
    <row r="168" spans="1:11" x14ac:dyDescent="0.25">
      <c r="A168" s="4" t="s">
        <v>169</v>
      </c>
      <c r="B168" s="4">
        <v>229</v>
      </c>
      <c r="C168">
        <f t="shared" si="12"/>
        <v>1.145</v>
      </c>
      <c r="D168">
        <f t="shared" si="13"/>
        <v>350</v>
      </c>
      <c r="E168">
        <v>77</v>
      </c>
      <c r="G168">
        <f t="shared" si="14"/>
        <v>350</v>
      </c>
      <c r="H168" s="2">
        <f t="shared" si="15"/>
        <v>2.8544366197183098</v>
      </c>
      <c r="J168" s="2">
        <f t="shared" si="16"/>
        <v>2.8571428571428572</v>
      </c>
      <c r="K168" s="3">
        <f t="shared" si="17"/>
        <v>2.0977489850774336</v>
      </c>
    </row>
    <row r="169" spans="1:11" x14ac:dyDescent="0.25">
      <c r="A169" s="4" t="s">
        <v>170</v>
      </c>
      <c r="B169" s="4">
        <v>228</v>
      </c>
      <c r="C169">
        <f t="shared" si="12"/>
        <v>1.1399999999999999</v>
      </c>
      <c r="D169">
        <f t="shared" si="13"/>
        <v>350</v>
      </c>
      <c r="E169">
        <v>77</v>
      </c>
      <c r="G169">
        <f t="shared" si="14"/>
        <v>350</v>
      </c>
      <c r="H169" s="2">
        <f t="shared" si="15"/>
        <v>2.8419718309859157</v>
      </c>
      <c r="J169" s="2">
        <f t="shared" si="16"/>
        <v>2.8571428571428572</v>
      </c>
      <c r="K169" s="3">
        <f t="shared" si="17"/>
        <v>2.0889962358778358</v>
      </c>
    </row>
    <row r="170" spans="1:11" x14ac:dyDescent="0.25">
      <c r="A170" s="4" t="s">
        <v>171</v>
      </c>
      <c r="B170" s="4">
        <v>227</v>
      </c>
      <c r="C170">
        <f t="shared" si="12"/>
        <v>1.135</v>
      </c>
      <c r="D170">
        <f t="shared" si="13"/>
        <v>349.6</v>
      </c>
      <c r="E170">
        <v>76.599999999999994</v>
      </c>
      <c r="G170">
        <f t="shared" si="14"/>
        <v>349.6</v>
      </c>
      <c r="H170" s="2">
        <f t="shared" si="15"/>
        <v>2.8295070422535211</v>
      </c>
      <c r="J170" s="2">
        <f t="shared" si="16"/>
        <v>2.860411899313501</v>
      </c>
      <c r="K170" s="3">
        <f t="shared" si="17"/>
        <v>2.0802050129317595</v>
      </c>
    </row>
    <row r="171" spans="1:11" x14ac:dyDescent="0.25">
      <c r="A171" s="4" t="s">
        <v>172</v>
      </c>
      <c r="B171" s="4">
        <v>226</v>
      </c>
      <c r="C171">
        <f t="shared" si="12"/>
        <v>1.1299999999999999</v>
      </c>
      <c r="D171">
        <f t="shared" si="13"/>
        <v>349.6</v>
      </c>
      <c r="E171">
        <v>76.599999999999994</v>
      </c>
      <c r="G171">
        <f t="shared" si="14"/>
        <v>349.6</v>
      </c>
      <c r="H171" s="2">
        <f t="shared" si="15"/>
        <v>2.8170422535211266</v>
      </c>
      <c r="J171" s="2">
        <f t="shared" si="16"/>
        <v>2.860411899313501</v>
      </c>
      <c r="K171" s="3">
        <f t="shared" si="17"/>
        <v>2.0713749765135256</v>
      </c>
    </row>
    <row r="172" spans="1:11" x14ac:dyDescent="0.25">
      <c r="A172" s="4" t="s">
        <v>173</v>
      </c>
      <c r="B172" s="4">
        <v>225</v>
      </c>
      <c r="C172">
        <f t="shared" si="12"/>
        <v>1.125</v>
      </c>
      <c r="D172">
        <f t="shared" si="13"/>
        <v>349.6</v>
      </c>
      <c r="E172">
        <v>76.599999999999994</v>
      </c>
      <c r="G172">
        <f t="shared" si="14"/>
        <v>349.6</v>
      </c>
      <c r="H172" s="2">
        <f t="shared" si="15"/>
        <v>2.8045774647887325</v>
      </c>
      <c r="J172" s="2">
        <f t="shared" si="16"/>
        <v>2.860411899313501</v>
      </c>
      <c r="K172" s="3">
        <f t="shared" si="17"/>
        <v>2.0625057823777944</v>
      </c>
    </row>
    <row r="173" spans="1:11" x14ac:dyDescent="0.25">
      <c r="A173" s="4" t="s">
        <v>174</v>
      </c>
      <c r="B173" s="4">
        <v>225</v>
      </c>
      <c r="C173">
        <f t="shared" si="12"/>
        <v>1.125</v>
      </c>
      <c r="D173">
        <f t="shared" si="13"/>
        <v>349.2</v>
      </c>
      <c r="E173">
        <v>76.2</v>
      </c>
      <c r="G173">
        <f t="shared" si="14"/>
        <v>349.2</v>
      </c>
      <c r="H173" s="2">
        <f t="shared" si="15"/>
        <v>2.8045774647887325</v>
      </c>
      <c r="J173" s="2">
        <f t="shared" si="16"/>
        <v>2.86368843069874</v>
      </c>
      <c r="K173" s="3">
        <f t="shared" si="17"/>
        <v>2.0625057823777944</v>
      </c>
    </row>
    <row r="174" spans="1:11" x14ac:dyDescent="0.25">
      <c r="A174" s="4" t="s">
        <v>175</v>
      </c>
      <c r="B174" s="4">
        <v>224</v>
      </c>
      <c r="C174">
        <f t="shared" si="12"/>
        <v>1.1200000000000001</v>
      </c>
      <c r="D174">
        <f t="shared" si="13"/>
        <v>349.2</v>
      </c>
      <c r="E174">
        <v>76.2</v>
      </c>
      <c r="G174">
        <f t="shared" si="14"/>
        <v>349.2</v>
      </c>
      <c r="H174" s="2">
        <f t="shared" si="15"/>
        <v>2.7921126760563379</v>
      </c>
      <c r="J174" s="2">
        <f t="shared" si="16"/>
        <v>2.86368843069874</v>
      </c>
      <c r="K174" s="3">
        <f t="shared" si="17"/>
        <v>2.0535970816790337</v>
      </c>
    </row>
    <row r="175" spans="1:11" x14ac:dyDescent="0.25">
      <c r="A175" s="4" t="s">
        <v>176</v>
      </c>
      <c r="B175" s="4">
        <v>222</v>
      </c>
      <c r="C175">
        <f t="shared" si="12"/>
        <v>1.1100000000000001</v>
      </c>
      <c r="D175">
        <f t="shared" si="13"/>
        <v>349.2</v>
      </c>
      <c r="E175">
        <v>76.2</v>
      </c>
      <c r="G175">
        <f t="shared" si="14"/>
        <v>349.2</v>
      </c>
      <c r="H175" s="2">
        <f t="shared" si="15"/>
        <v>2.7671830985915493</v>
      </c>
      <c r="J175" s="2">
        <f t="shared" si="16"/>
        <v>2.86368843069874</v>
      </c>
      <c r="K175" s="3">
        <f t="shared" si="17"/>
        <v>2.0356597417135132</v>
      </c>
    </row>
    <row r="176" spans="1:11" x14ac:dyDescent="0.25">
      <c r="A176" s="4" t="s">
        <v>177</v>
      </c>
      <c r="B176" s="4">
        <v>220</v>
      </c>
      <c r="C176">
        <f t="shared" si="12"/>
        <v>1.1000000000000001</v>
      </c>
      <c r="D176">
        <f t="shared" si="13"/>
        <v>348.7</v>
      </c>
      <c r="E176">
        <v>75.7</v>
      </c>
      <c r="G176">
        <f t="shared" si="14"/>
        <v>348.7</v>
      </c>
      <c r="H176" s="2">
        <f t="shared" si="15"/>
        <v>2.7422535211267602</v>
      </c>
      <c r="J176" s="2">
        <f t="shared" si="16"/>
        <v>2.8677946659019216</v>
      </c>
      <c r="K176" s="3">
        <f t="shared" si="17"/>
        <v>2.0175600706736767</v>
      </c>
    </row>
    <row r="177" spans="1:11" x14ac:dyDescent="0.25">
      <c r="A177" s="4" t="s">
        <v>178</v>
      </c>
      <c r="B177" s="4">
        <v>220</v>
      </c>
      <c r="C177">
        <f t="shared" si="12"/>
        <v>1.1000000000000001</v>
      </c>
      <c r="D177">
        <f t="shared" si="13"/>
        <v>348.7</v>
      </c>
      <c r="E177">
        <v>75.7</v>
      </c>
      <c r="G177">
        <f t="shared" si="14"/>
        <v>348.7</v>
      </c>
      <c r="H177" s="2">
        <f t="shared" si="15"/>
        <v>2.7422535211267602</v>
      </c>
      <c r="J177" s="2">
        <f t="shared" si="16"/>
        <v>2.8677946659019216</v>
      </c>
      <c r="K177" s="3">
        <f t="shared" si="17"/>
        <v>2.0175600706736767</v>
      </c>
    </row>
    <row r="178" spans="1:11" x14ac:dyDescent="0.25">
      <c r="A178" s="4" t="s">
        <v>179</v>
      </c>
      <c r="B178" s="4">
        <v>221</v>
      </c>
      <c r="C178">
        <f t="shared" si="12"/>
        <v>1.105</v>
      </c>
      <c r="D178">
        <f t="shared" si="13"/>
        <v>348.7</v>
      </c>
      <c r="E178">
        <v>75.7</v>
      </c>
      <c r="G178">
        <f t="shared" si="14"/>
        <v>348.7</v>
      </c>
      <c r="H178" s="2">
        <f t="shared" si="15"/>
        <v>2.7547183098591552</v>
      </c>
      <c r="J178" s="2">
        <f t="shared" si="16"/>
        <v>2.8677946659019216</v>
      </c>
      <c r="K178" s="3">
        <f t="shared" si="17"/>
        <v>2.0266303810044599</v>
      </c>
    </row>
    <row r="179" spans="1:11" x14ac:dyDescent="0.25">
      <c r="A179" s="4" t="s">
        <v>180</v>
      </c>
      <c r="B179" s="4">
        <v>220</v>
      </c>
      <c r="C179">
        <f t="shared" si="12"/>
        <v>1.1000000000000001</v>
      </c>
      <c r="D179">
        <f t="shared" si="13"/>
        <v>347.6</v>
      </c>
      <c r="E179">
        <v>74.599999999999994</v>
      </c>
      <c r="G179">
        <f t="shared" si="14"/>
        <v>347.6</v>
      </c>
      <c r="H179" s="2">
        <f t="shared" si="15"/>
        <v>2.7422535211267602</v>
      </c>
      <c r="J179" s="2">
        <f t="shared" si="16"/>
        <v>2.8768699654775602</v>
      </c>
      <c r="K179" s="3">
        <f t="shared" si="17"/>
        <v>2.0175600706736767</v>
      </c>
    </row>
    <row r="180" spans="1:11" x14ac:dyDescent="0.25">
      <c r="A180" s="4" t="s">
        <v>181</v>
      </c>
      <c r="B180" s="4">
        <v>219</v>
      </c>
      <c r="C180">
        <f t="shared" si="12"/>
        <v>1.095</v>
      </c>
      <c r="D180">
        <f t="shared" si="13"/>
        <v>347.6</v>
      </c>
      <c r="E180">
        <v>74.599999999999994</v>
      </c>
      <c r="G180">
        <f t="shared" si="14"/>
        <v>347.6</v>
      </c>
      <c r="H180" s="2">
        <f t="shared" si="15"/>
        <v>2.7297887323943661</v>
      </c>
      <c r="J180" s="2">
        <f t="shared" si="16"/>
        <v>2.8768699654775602</v>
      </c>
      <c r="K180" s="3">
        <f t="shared" si="17"/>
        <v>2.0084484376019556</v>
      </c>
    </row>
    <row r="181" spans="1:11" x14ac:dyDescent="0.25">
      <c r="A181" s="4" t="s">
        <v>182</v>
      </c>
      <c r="B181" s="4">
        <v>219</v>
      </c>
      <c r="C181">
        <f t="shared" si="12"/>
        <v>1.095</v>
      </c>
      <c r="D181">
        <f t="shared" si="13"/>
        <v>347.6</v>
      </c>
      <c r="E181">
        <v>74.599999999999994</v>
      </c>
      <c r="G181">
        <f t="shared" si="14"/>
        <v>347.6</v>
      </c>
      <c r="H181" s="2">
        <f t="shared" si="15"/>
        <v>2.7297887323943661</v>
      </c>
      <c r="J181" s="2">
        <f t="shared" si="16"/>
        <v>2.8768699654775602</v>
      </c>
      <c r="K181" s="3">
        <f t="shared" si="17"/>
        <v>2.0084484376019556</v>
      </c>
    </row>
    <row r="182" spans="1:11" x14ac:dyDescent="0.25">
      <c r="A182" s="4" t="s">
        <v>183</v>
      </c>
      <c r="B182" s="4">
        <v>219</v>
      </c>
      <c r="C182">
        <f t="shared" si="12"/>
        <v>1.095</v>
      </c>
      <c r="D182">
        <f t="shared" si="13"/>
        <v>347.1</v>
      </c>
      <c r="E182">
        <v>74.099999999999994</v>
      </c>
      <c r="G182">
        <f t="shared" si="14"/>
        <v>347.1</v>
      </c>
      <c r="H182" s="2">
        <f t="shared" si="15"/>
        <v>2.7297887323943661</v>
      </c>
      <c r="J182" s="2">
        <f t="shared" si="16"/>
        <v>2.881014116969173</v>
      </c>
      <c r="K182" s="3">
        <f t="shared" si="17"/>
        <v>2.0084484376019556</v>
      </c>
    </row>
    <row r="183" spans="1:11" x14ac:dyDescent="0.25">
      <c r="A183" s="4" t="s">
        <v>184</v>
      </c>
      <c r="B183" s="4">
        <v>218</v>
      </c>
      <c r="C183">
        <f t="shared" si="12"/>
        <v>1.0900000000000001</v>
      </c>
      <c r="D183">
        <f t="shared" si="13"/>
        <v>347.1</v>
      </c>
      <c r="E183">
        <v>74.099999999999994</v>
      </c>
      <c r="G183">
        <f t="shared" si="14"/>
        <v>347.1</v>
      </c>
      <c r="H183" s="2">
        <f t="shared" si="15"/>
        <v>2.7173239436619721</v>
      </c>
      <c r="J183" s="2">
        <f t="shared" si="16"/>
        <v>2.881014116969173</v>
      </c>
      <c r="K183" s="3">
        <f t="shared" si="17"/>
        <v>1.9992951035471322</v>
      </c>
    </row>
    <row r="184" spans="1:11" x14ac:dyDescent="0.25">
      <c r="A184" s="4" t="s">
        <v>185</v>
      </c>
      <c r="B184" s="4">
        <v>217</v>
      </c>
      <c r="C184">
        <f t="shared" si="12"/>
        <v>1.085</v>
      </c>
      <c r="D184">
        <f t="shared" si="13"/>
        <v>347.1</v>
      </c>
      <c r="E184">
        <v>74.099999999999994</v>
      </c>
      <c r="G184">
        <f t="shared" si="14"/>
        <v>347.1</v>
      </c>
      <c r="H184" s="2">
        <f t="shared" si="15"/>
        <v>2.7048591549295775</v>
      </c>
      <c r="J184" s="2">
        <f t="shared" si="16"/>
        <v>2.881014116969173</v>
      </c>
      <c r="K184" s="3">
        <f t="shared" si="17"/>
        <v>1.9900996850498733</v>
      </c>
    </row>
    <row r="185" spans="1:11" x14ac:dyDescent="0.25">
      <c r="A185" s="4" t="s">
        <v>186</v>
      </c>
      <c r="B185" s="4">
        <v>216</v>
      </c>
      <c r="C185">
        <f t="shared" si="12"/>
        <v>1.08</v>
      </c>
      <c r="D185">
        <f t="shared" si="13"/>
        <v>347.1</v>
      </c>
      <c r="E185">
        <v>74.099999999999994</v>
      </c>
      <c r="G185">
        <f t="shared" si="14"/>
        <v>347.1</v>
      </c>
      <c r="H185" s="2">
        <f t="shared" si="15"/>
        <v>2.692394366197183</v>
      </c>
      <c r="J185" s="2">
        <f t="shared" si="16"/>
        <v>2.881014116969173</v>
      </c>
      <c r="K185" s="3">
        <f t="shared" si="17"/>
        <v>1.9808617933372841</v>
      </c>
    </row>
    <row r="186" spans="1:11" x14ac:dyDescent="0.25">
      <c r="A186" s="4" t="s">
        <v>187</v>
      </c>
      <c r="B186" s="4">
        <v>214</v>
      </c>
      <c r="C186">
        <f t="shared" si="12"/>
        <v>1.07</v>
      </c>
      <c r="D186">
        <f t="shared" si="13"/>
        <v>346.6</v>
      </c>
      <c r="E186">
        <v>73.599999999999994</v>
      </c>
      <c r="G186">
        <f t="shared" si="14"/>
        <v>346.6</v>
      </c>
      <c r="H186" s="2">
        <f t="shared" si="15"/>
        <v>2.6674647887323948</v>
      </c>
      <c r="J186" s="2">
        <f t="shared" si="16"/>
        <v>2.8851702250432774</v>
      </c>
      <c r="K186" s="3">
        <f t="shared" si="17"/>
        <v>1.9622570080126573</v>
      </c>
    </row>
    <row r="187" spans="1:11" x14ac:dyDescent="0.25">
      <c r="A187" s="4" t="s">
        <v>188</v>
      </c>
      <c r="B187" s="4">
        <v>213</v>
      </c>
      <c r="C187">
        <f t="shared" si="12"/>
        <v>1.0649999999999999</v>
      </c>
      <c r="D187">
        <f t="shared" si="13"/>
        <v>346.6</v>
      </c>
      <c r="E187">
        <v>73.599999999999994</v>
      </c>
      <c r="G187">
        <f t="shared" si="14"/>
        <v>346.6</v>
      </c>
      <c r="H187" s="2">
        <f t="shared" si="15"/>
        <v>2.6549999999999998</v>
      </c>
      <c r="J187" s="2">
        <f t="shared" si="16"/>
        <v>2.8851702250432774</v>
      </c>
      <c r="K187" s="3">
        <f t="shared" si="17"/>
        <v>1.9528893093878041</v>
      </c>
    </row>
    <row r="188" spans="1:11" x14ac:dyDescent="0.25">
      <c r="A188" s="4" t="s">
        <v>189</v>
      </c>
      <c r="B188" s="4">
        <v>214</v>
      </c>
      <c r="C188">
        <f t="shared" si="12"/>
        <v>1.07</v>
      </c>
      <c r="D188">
        <f t="shared" si="13"/>
        <v>346.6</v>
      </c>
      <c r="E188">
        <v>73.599999999999994</v>
      </c>
      <c r="G188">
        <f t="shared" si="14"/>
        <v>346.6</v>
      </c>
      <c r="H188" s="2">
        <f t="shared" si="15"/>
        <v>2.6674647887323948</v>
      </c>
      <c r="J188" s="2">
        <f t="shared" si="16"/>
        <v>2.8851702250432774</v>
      </c>
      <c r="K188" s="3">
        <f t="shared" si="17"/>
        <v>1.9622570080126573</v>
      </c>
    </row>
    <row r="189" spans="1:11" x14ac:dyDescent="0.25">
      <c r="A189" s="4" t="s">
        <v>190</v>
      </c>
      <c r="B189" s="4">
        <v>212</v>
      </c>
      <c r="C189">
        <f t="shared" si="12"/>
        <v>1.06</v>
      </c>
      <c r="D189">
        <f t="shared" si="13"/>
        <v>346.4</v>
      </c>
      <c r="E189">
        <v>73.400000000000006</v>
      </c>
      <c r="G189">
        <f t="shared" si="14"/>
        <v>346.4</v>
      </c>
      <c r="H189" s="2">
        <f t="shared" si="15"/>
        <v>2.6425352112676057</v>
      </c>
      <c r="J189" s="2">
        <f t="shared" si="16"/>
        <v>2.8868360277136262</v>
      </c>
      <c r="K189" s="3">
        <f t="shared" si="17"/>
        <v>1.9434775273129792</v>
      </c>
    </row>
    <row r="190" spans="1:11" x14ac:dyDescent="0.25">
      <c r="A190" s="4" t="s">
        <v>191</v>
      </c>
      <c r="B190" s="4">
        <v>211</v>
      </c>
      <c r="C190">
        <f t="shared" si="12"/>
        <v>1.0549999999999999</v>
      </c>
      <c r="D190">
        <f t="shared" si="13"/>
        <v>346.4</v>
      </c>
      <c r="E190">
        <v>73.400000000000006</v>
      </c>
      <c r="G190">
        <f t="shared" si="14"/>
        <v>346.4</v>
      </c>
      <c r="H190" s="2">
        <f t="shared" si="15"/>
        <v>2.6300704225352116</v>
      </c>
      <c r="J190" s="2">
        <f t="shared" si="16"/>
        <v>2.8868360277136262</v>
      </c>
      <c r="K190" s="3">
        <f t="shared" si="17"/>
        <v>1.9340212449210874</v>
      </c>
    </row>
    <row r="191" spans="1:11" x14ac:dyDescent="0.25">
      <c r="A191" s="4" t="s">
        <v>192</v>
      </c>
      <c r="B191" s="4">
        <v>211</v>
      </c>
      <c r="C191">
        <f t="shared" si="12"/>
        <v>1.0549999999999999</v>
      </c>
      <c r="D191">
        <f t="shared" si="13"/>
        <v>346.4</v>
      </c>
      <c r="E191">
        <v>73.400000000000006</v>
      </c>
      <c r="G191">
        <f t="shared" si="14"/>
        <v>346.4</v>
      </c>
      <c r="H191" s="2">
        <f t="shared" si="15"/>
        <v>2.6300704225352116</v>
      </c>
      <c r="J191" s="2">
        <f t="shared" si="16"/>
        <v>2.8868360277136262</v>
      </c>
      <c r="K191" s="3">
        <f t="shared" si="17"/>
        <v>1.9340212449210874</v>
      </c>
    </row>
    <row r="192" spans="1:11" x14ac:dyDescent="0.25">
      <c r="A192" s="4" t="s">
        <v>193</v>
      </c>
      <c r="B192" s="4">
        <v>211</v>
      </c>
      <c r="C192">
        <f t="shared" si="12"/>
        <v>1.0549999999999999</v>
      </c>
      <c r="D192">
        <f t="shared" si="13"/>
        <v>345.5</v>
      </c>
      <c r="E192">
        <v>72.5</v>
      </c>
      <c r="G192">
        <f t="shared" si="14"/>
        <v>345.5</v>
      </c>
      <c r="H192" s="2">
        <f t="shared" si="15"/>
        <v>2.6300704225352116</v>
      </c>
      <c r="J192" s="2">
        <f t="shared" si="16"/>
        <v>2.8943560057887119</v>
      </c>
      <c r="K192" s="3">
        <f t="shared" si="17"/>
        <v>1.9340212449210874</v>
      </c>
    </row>
    <row r="193" spans="1:11" x14ac:dyDescent="0.25">
      <c r="A193" s="4" t="s">
        <v>194</v>
      </c>
      <c r="B193" s="4">
        <v>210</v>
      </c>
      <c r="C193">
        <f t="shared" si="12"/>
        <v>1.05</v>
      </c>
      <c r="D193">
        <f t="shared" si="13"/>
        <v>345.5</v>
      </c>
      <c r="E193">
        <v>72.5</v>
      </c>
      <c r="G193">
        <f t="shared" si="14"/>
        <v>345.5</v>
      </c>
      <c r="H193" s="2">
        <f t="shared" si="15"/>
        <v>2.6176056338028166</v>
      </c>
      <c r="J193" s="2">
        <f t="shared" si="16"/>
        <v>2.8943560057887119</v>
      </c>
      <c r="K193" s="3">
        <f t="shared" si="17"/>
        <v>1.9245200394038913</v>
      </c>
    </row>
    <row r="194" spans="1:11" x14ac:dyDescent="0.25">
      <c r="A194" s="4" t="s">
        <v>195</v>
      </c>
      <c r="B194" s="4">
        <v>208</v>
      </c>
      <c r="C194">
        <f t="shared" si="12"/>
        <v>1.04</v>
      </c>
      <c r="D194">
        <f t="shared" si="13"/>
        <v>345.5</v>
      </c>
      <c r="E194">
        <v>72.5</v>
      </c>
      <c r="G194">
        <f t="shared" si="14"/>
        <v>345.5</v>
      </c>
      <c r="H194" s="2">
        <f t="shared" si="15"/>
        <v>2.5926760563380284</v>
      </c>
      <c r="J194" s="2">
        <f t="shared" si="16"/>
        <v>2.8943560057887119</v>
      </c>
      <c r="K194" s="3">
        <f t="shared" si="17"/>
        <v>1.9053811373715903</v>
      </c>
    </row>
    <row r="195" spans="1:11" x14ac:dyDescent="0.25">
      <c r="A195" s="4" t="s">
        <v>196</v>
      </c>
      <c r="B195" s="4">
        <v>208</v>
      </c>
      <c r="C195">
        <f t="shared" si="12"/>
        <v>1.04</v>
      </c>
      <c r="D195">
        <f t="shared" si="13"/>
        <v>345.2</v>
      </c>
      <c r="E195">
        <v>72.2</v>
      </c>
      <c r="G195">
        <f t="shared" si="14"/>
        <v>345.2</v>
      </c>
      <c r="H195" s="2">
        <f t="shared" si="15"/>
        <v>2.5926760563380284</v>
      </c>
      <c r="J195" s="2">
        <f t="shared" si="16"/>
        <v>2.8968713789107765</v>
      </c>
      <c r="K195" s="3">
        <f t="shared" si="17"/>
        <v>1.9053811373715903</v>
      </c>
    </row>
    <row r="196" spans="1:11" x14ac:dyDescent="0.25">
      <c r="A196" s="4" t="s">
        <v>197</v>
      </c>
      <c r="B196" s="4">
        <v>207</v>
      </c>
      <c r="C196">
        <f t="shared" si="12"/>
        <v>1.0349999999999999</v>
      </c>
      <c r="D196">
        <f t="shared" si="13"/>
        <v>345.2</v>
      </c>
      <c r="E196">
        <v>72.2</v>
      </c>
      <c r="G196">
        <f t="shared" si="14"/>
        <v>345.2</v>
      </c>
      <c r="H196" s="2">
        <f t="shared" si="15"/>
        <v>2.5802112676056339</v>
      </c>
      <c r="J196" s="2">
        <f t="shared" si="16"/>
        <v>2.8968713789107765</v>
      </c>
      <c r="K196" s="3">
        <f t="shared" si="17"/>
        <v>1.8957425644996924</v>
      </c>
    </row>
    <row r="197" spans="1:11" x14ac:dyDescent="0.25">
      <c r="A197" s="4" t="s">
        <v>198</v>
      </c>
      <c r="B197" s="4">
        <v>206</v>
      </c>
      <c r="C197">
        <f t="shared" si="12"/>
        <v>1.03</v>
      </c>
      <c r="D197">
        <f t="shared" si="13"/>
        <v>345.2</v>
      </c>
      <c r="E197">
        <v>72.2</v>
      </c>
      <c r="G197">
        <f t="shared" si="14"/>
        <v>345.2</v>
      </c>
      <c r="H197" s="2">
        <f t="shared" si="15"/>
        <v>2.5677464788732394</v>
      </c>
      <c r="J197" s="2">
        <f t="shared" si="16"/>
        <v>2.8968713789107765</v>
      </c>
      <c r="K197" s="3">
        <f t="shared" si="17"/>
        <v>1.8860573155481162</v>
      </c>
    </row>
    <row r="198" spans="1:11" x14ac:dyDescent="0.25">
      <c r="A198" s="4" t="s">
        <v>199</v>
      </c>
      <c r="B198" s="4">
        <v>205</v>
      </c>
      <c r="C198">
        <f t="shared" si="12"/>
        <v>1.0249999999999999</v>
      </c>
      <c r="D198">
        <f t="shared" si="13"/>
        <v>345.1</v>
      </c>
      <c r="E198">
        <v>72.099999999999994</v>
      </c>
      <c r="G198">
        <f t="shared" si="14"/>
        <v>345.1</v>
      </c>
      <c r="H198" s="2">
        <f t="shared" si="15"/>
        <v>2.5552816901408453</v>
      </c>
      <c r="J198" s="2">
        <f t="shared" si="16"/>
        <v>2.8977108084613152</v>
      </c>
      <c r="K198" s="3">
        <f t="shared" si="17"/>
        <v>1.8763249362457706</v>
      </c>
    </row>
    <row r="199" spans="1:11" x14ac:dyDescent="0.25">
      <c r="A199" s="4" t="s">
        <v>200</v>
      </c>
      <c r="B199" s="4">
        <v>206</v>
      </c>
      <c r="C199">
        <f t="shared" si="12"/>
        <v>1.03</v>
      </c>
      <c r="D199">
        <f t="shared" si="13"/>
        <v>345.1</v>
      </c>
      <c r="E199">
        <v>72.099999999999994</v>
      </c>
      <c r="G199">
        <f t="shared" si="14"/>
        <v>345.1</v>
      </c>
      <c r="H199" s="2">
        <f t="shared" si="15"/>
        <v>2.5677464788732394</v>
      </c>
      <c r="J199" s="2">
        <f t="shared" si="16"/>
        <v>2.8977108084613152</v>
      </c>
      <c r="K199" s="3">
        <f t="shared" si="17"/>
        <v>1.8860573155481162</v>
      </c>
    </row>
    <row r="200" spans="1:11" x14ac:dyDescent="0.25">
      <c r="A200" s="4" t="s">
        <v>201</v>
      </c>
      <c r="B200" s="4">
        <v>205</v>
      </c>
      <c r="C200">
        <f t="shared" si="12"/>
        <v>1.0249999999999999</v>
      </c>
      <c r="D200">
        <f t="shared" si="13"/>
        <v>345.1</v>
      </c>
      <c r="E200">
        <v>72.099999999999994</v>
      </c>
      <c r="G200">
        <f t="shared" si="14"/>
        <v>345.1</v>
      </c>
      <c r="H200" s="2">
        <f t="shared" si="15"/>
        <v>2.5552816901408453</v>
      </c>
      <c r="J200" s="2">
        <f t="shared" si="16"/>
        <v>2.8977108084613152</v>
      </c>
      <c r="K200" s="3">
        <f t="shared" si="17"/>
        <v>1.8763249362457706</v>
      </c>
    </row>
    <row r="201" spans="1:11" x14ac:dyDescent="0.25">
      <c r="A201" s="4" t="s">
        <v>202</v>
      </c>
      <c r="B201" s="4">
        <v>204</v>
      </c>
      <c r="C201">
        <f t="shared" si="12"/>
        <v>1.02</v>
      </c>
      <c r="D201">
        <f t="shared" si="13"/>
        <v>345.1</v>
      </c>
      <c r="E201">
        <v>72.099999999999994</v>
      </c>
      <c r="G201">
        <f t="shared" si="14"/>
        <v>345.1</v>
      </c>
      <c r="H201" s="2">
        <f t="shared" si="15"/>
        <v>2.5428169014084507</v>
      </c>
      <c r="J201" s="2">
        <f t="shared" si="16"/>
        <v>2.8977108084613152</v>
      </c>
      <c r="K201" s="3">
        <f t="shared" si="17"/>
        <v>1.8665449656573869</v>
      </c>
    </row>
    <row r="202" spans="1:11" x14ac:dyDescent="0.25">
      <c r="A202" s="4" t="s">
        <v>203</v>
      </c>
      <c r="B202" s="4">
        <v>201</v>
      </c>
      <c r="C202">
        <f t="shared" si="12"/>
        <v>1.0049999999999999</v>
      </c>
      <c r="D202">
        <f t="shared" si="13"/>
        <v>344.8</v>
      </c>
      <c r="E202">
        <v>71.8</v>
      </c>
      <c r="G202">
        <f t="shared" si="14"/>
        <v>344.8</v>
      </c>
      <c r="H202" s="2">
        <f t="shared" si="15"/>
        <v>2.5054225352112676</v>
      </c>
      <c r="J202" s="2">
        <f t="shared" si="16"/>
        <v>2.9002320185614847</v>
      </c>
      <c r="K202" s="3">
        <f t="shared" si="17"/>
        <v>1.8369147940871056</v>
      </c>
    </row>
    <row r="203" spans="1:11" x14ac:dyDescent="0.25">
      <c r="A203" s="4" t="s">
        <v>204</v>
      </c>
      <c r="B203" s="4">
        <v>201</v>
      </c>
      <c r="C203">
        <f t="shared" ref="C203:C266" si="18">B203/200</f>
        <v>1.0049999999999999</v>
      </c>
      <c r="D203">
        <f t="shared" ref="D203:D266" si="19">273+E203</f>
        <v>344.8</v>
      </c>
      <c r="E203">
        <v>71.8</v>
      </c>
      <c r="G203">
        <f t="shared" ref="G203:G266" si="20">D203</f>
        <v>344.8</v>
      </c>
      <c r="H203" s="2">
        <f t="shared" ref="H203:H266" si="21">1.77*B203/142</f>
        <v>2.5054225352112676</v>
      </c>
      <c r="J203" s="2">
        <f t="shared" ref="J203:J266" si="22">1000/G203</f>
        <v>2.9002320185614847</v>
      </c>
      <c r="K203" s="3">
        <f t="shared" ref="K203:K266" si="23">LN(H203*H203)</f>
        <v>1.8369147940871056</v>
      </c>
    </row>
    <row r="204" spans="1:11" x14ac:dyDescent="0.25">
      <c r="A204" s="4" t="s">
        <v>205</v>
      </c>
      <c r="B204" s="4">
        <v>200</v>
      </c>
      <c r="C204">
        <f t="shared" si="18"/>
        <v>1</v>
      </c>
      <c r="D204">
        <f t="shared" si="19"/>
        <v>344.8</v>
      </c>
      <c r="E204">
        <v>71.8</v>
      </c>
      <c r="G204">
        <f t="shared" si="20"/>
        <v>344.8</v>
      </c>
      <c r="H204" s="2">
        <f t="shared" si="21"/>
        <v>2.492957746478873</v>
      </c>
      <c r="J204" s="2">
        <f t="shared" si="22"/>
        <v>2.9002320185614847</v>
      </c>
      <c r="K204" s="3">
        <f t="shared" si="23"/>
        <v>1.8269397110650272</v>
      </c>
    </row>
    <row r="205" spans="1:11" x14ac:dyDescent="0.25">
      <c r="A205" s="4" t="s">
        <v>206</v>
      </c>
      <c r="B205" s="4">
        <v>199</v>
      </c>
      <c r="C205">
        <f t="shared" si="18"/>
        <v>0.995</v>
      </c>
      <c r="D205">
        <f t="shared" si="19"/>
        <v>344.5</v>
      </c>
      <c r="E205">
        <v>71.5</v>
      </c>
      <c r="G205">
        <f t="shared" si="20"/>
        <v>344.5</v>
      </c>
      <c r="H205" s="2">
        <f t="shared" si="21"/>
        <v>2.4804929577464789</v>
      </c>
      <c r="J205" s="2">
        <f t="shared" si="22"/>
        <v>2.9027576197387517</v>
      </c>
      <c r="K205" s="3">
        <f t="shared" si="23"/>
        <v>1.8169146274179389</v>
      </c>
    </row>
    <row r="206" spans="1:11" x14ac:dyDescent="0.25">
      <c r="A206" s="4" t="s">
        <v>207</v>
      </c>
      <c r="B206" s="4">
        <v>199</v>
      </c>
      <c r="C206">
        <f t="shared" si="18"/>
        <v>0.995</v>
      </c>
      <c r="D206">
        <f t="shared" si="19"/>
        <v>344.5</v>
      </c>
      <c r="E206">
        <v>71.5</v>
      </c>
      <c r="G206">
        <f t="shared" si="20"/>
        <v>344.5</v>
      </c>
      <c r="H206" s="2">
        <f t="shared" si="21"/>
        <v>2.4804929577464789</v>
      </c>
      <c r="J206" s="2">
        <f t="shared" si="22"/>
        <v>2.9027576197387517</v>
      </c>
      <c r="K206" s="3">
        <f t="shared" si="23"/>
        <v>1.8169146274179389</v>
      </c>
    </row>
    <row r="207" spans="1:11" x14ac:dyDescent="0.25">
      <c r="A207" s="4" t="s">
        <v>208</v>
      </c>
      <c r="B207" s="4">
        <v>200</v>
      </c>
      <c r="C207">
        <f t="shared" si="18"/>
        <v>1</v>
      </c>
      <c r="D207">
        <f t="shared" si="19"/>
        <v>344.5</v>
      </c>
      <c r="E207">
        <v>71.5</v>
      </c>
      <c r="G207">
        <f t="shared" si="20"/>
        <v>344.5</v>
      </c>
      <c r="H207" s="2">
        <f t="shared" si="21"/>
        <v>2.492957746478873</v>
      </c>
      <c r="J207" s="2">
        <f t="shared" si="22"/>
        <v>2.9027576197387517</v>
      </c>
      <c r="K207" s="3">
        <f t="shared" si="23"/>
        <v>1.8269397110650272</v>
      </c>
    </row>
    <row r="208" spans="1:11" x14ac:dyDescent="0.25">
      <c r="A208" s="4" t="s">
        <v>209</v>
      </c>
      <c r="B208" s="4">
        <v>201</v>
      </c>
      <c r="C208">
        <f t="shared" si="18"/>
        <v>1.0049999999999999</v>
      </c>
      <c r="D208">
        <f t="shared" si="19"/>
        <v>344.1</v>
      </c>
      <c r="E208">
        <v>71.099999999999994</v>
      </c>
      <c r="G208">
        <f t="shared" si="20"/>
        <v>344.1</v>
      </c>
      <c r="H208" s="2">
        <f t="shared" si="21"/>
        <v>2.5054225352112676</v>
      </c>
      <c r="J208" s="2">
        <f t="shared" si="22"/>
        <v>2.9061319383900028</v>
      </c>
      <c r="K208" s="3">
        <f t="shared" si="23"/>
        <v>1.8369147940871056</v>
      </c>
    </row>
    <row r="209" spans="1:11" x14ac:dyDescent="0.25">
      <c r="A209" s="4" t="s">
        <v>210</v>
      </c>
      <c r="B209" s="4">
        <v>200</v>
      </c>
      <c r="C209">
        <f t="shared" si="18"/>
        <v>1</v>
      </c>
      <c r="D209">
        <f t="shared" si="19"/>
        <v>344.1</v>
      </c>
      <c r="E209">
        <v>71.099999999999994</v>
      </c>
      <c r="G209">
        <f t="shared" si="20"/>
        <v>344.1</v>
      </c>
      <c r="H209" s="2">
        <f t="shared" si="21"/>
        <v>2.492957746478873</v>
      </c>
      <c r="J209" s="2">
        <f t="shared" si="22"/>
        <v>2.9061319383900028</v>
      </c>
      <c r="K209" s="3">
        <f t="shared" si="23"/>
        <v>1.8269397110650272</v>
      </c>
    </row>
    <row r="210" spans="1:11" x14ac:dyDescent="0.25">
      <c r="A210" s="4" t="s">
        <v>211</v>
      </c>
      <c r="B210" s="4">
        <v>199</v>
      </c>
      <c r="C210">
        <f t="shared" si="18"/>
        <v>0.995</v>
      </c>
      <c r="D210">
        <f t="shared" si="19"/>
        <v>344.1</v>
      </c>
      <c r="E210">
        <v>71.099999999999994</v>
      </c>
      <c r="G210">
        <f t="shared" si="20"/>
        <v>344.1</v>
      </c>
      <c r="H210" s="2">
        <f t="shared" si="21"/>
        <v>2.4804929577464789</v>
      </c>
      <c r="J210" s="2">
        <f t="shared" si="22"/>
        <v>2.9061319383900028</v>
      </c>
      <c r="K210" s="3">
        <f t="shared" si="23"/>
        <v>1.8169146274179389</v>
      </c>
    </row>
    <row r="211" spans="1:11" x14ac:dyDescent="0.25">
      <c r="A211" s="4" t="s">
        <v>212</v>
      </c>
      <c r="B211" s="4">
        <v>196</v>
      </c>
      <c r="C211">
        <f t="shared" si="18"/>
        <v>0.98</v>
      </c>
      <c r="D211">
        <f t="shared" si="19"/>
        <v>343.8</v>
      </c>
      <c r="E211">
        <v>70.8</v>
      </c>
      <c r="G211">
        <f t="shared" si="20"/>
        <v>343.8</v>
      </c>
      <c r="H211" s="2">
        <f t="shared" si="21"/>
        <v>2.4430985915492958</v>
      </c>
      <c r="J211" s="2">
        <f t="shared" si="22"/>
        <v>2.9086678301337985</v>
      </c>
      <c r="K211" s="3">
        <f t="shared" si="23"/>
        <v>1.7865342964299884</v>
      </c>
    </row>
    <row r="212" spans="1:11" x14ac:dyDescent="0.25">
      <c r="A212" s="4" t="s">
        <v>213</v>
      </c>
      <c r="B212" s="4">
        <v>197</v>
      </c>
      <c r="C212">
        <f t="shared" si="18"/>
        <v>0.98499999999999999</v>
      </c>
      <c r="D212">
        <f t="shared" si="19"/>
        <v>343.8</v>
      </c>
      <c r="E212">
        <v>70.8</v>
      </c>
      <c r="G212">
        <f t="shared" si="20"/>
        <v>343.8</v>
      </c>
      <c r="H212" s="2">
        <f t="shared" si="21"/>
        <v>2.4555633802816903</v>
      </c>
      <c r="J212" s="2">
        <f t="shared" si="22"/>
        <v>2.9086678301337985</v>
      </c>
      <c r="K212" s="3">
        <f t="shared" si="23"/>
        <v>1.7967124354449311</v>
      </c>
    </row>
    <row r="213" spans="1:11" x14ac:dyDescent="0.25">
      <c r="A213" s="4" t="s">
        <v>214</v>
      </c>
      <c r="B213" s="4">
        <v>197</v>
      </c>
      <c r="C213">
        <f t="shared" si="18"/>
        <v>0.98499999999999999</v>
      </c>
      <c r="D213">
        <f t="shared" si="19"/>
        <v>343.8</v>
      </c>
      <c r="E213">
        <v>70.8</v>
      </c>
      <c r="G213">
        <f t="shared" si="20"/>
        <v>343.8</v>
      </c>
      <c r="H213" s="2">
        <f t="shared" si="21"/>
        <v>2.4555633802816903</v>
      </c>
      <c r="J213" s="2">
        <f t="shared" si="22"/>
        <v>2.9086678301337985</v>
      </c>
      <c r="K213" s="3">
        <f t="shared" si="23"/>
        <v>1.7967124354449311</v>
      </c>
    </row>
    <row r="214" spans="1:11" x14ac:dyDescent="0.25">
      <c r="A214" s="4" t="s">
        <v>215</v>
      </c>
      <c r="B214" s="4">
        <v>196</v>
      </c>
      <c r="C214">
        <f t="shared" si="18"/>
        <v>0.98</v>
      </c>
      <c r="D214">
        <f t="shared" si="19"/>
        <v>343.3</v>
      </c>
      <c r="E214">
        <v>70.3</v>
      </c>
      <c r="G214">
        <f t="shared" si="20"/>
        <v>343.3</v>
      </c>
      <c r="H214" s="2">
        <f t="shared" si="21"/>
        <v>2.4430985915492958</v>
      </c>
      <c r="J214" s="2">
        <f t="shared" si="22"/>
        <v>2.9129041654529564</v>
      </c>
      <c r="K214" s="3">
        <f t="shared" si="23"/>
        <v>1.7865342964299884</v>
      </c>
    </row>
    <row r="215" spans="1:11" x14ac:dyDescent="0.25">
      <c r="A215" s="4" t="s">
        <v>216</v>
      </c>
      <c r="B215" s="4">
        <v>195</v>
      </c>
      <c r="C215">
        <f t="shared" si="18"/>
        <v>0.97499999999999998</v>
      </c>
      <c r="D215">
        <f t="shared" si="19"/>
        <v>343.3</v>
      </c>
      <c r="E215">
        <v>70.3</v>
      </c>
      <c r="G215">
        <f t="shared" si="20"/>
        <v>343.3</v>
      </c>
      <c r="H215" s="2">
        <f t="shared" si="21"/>
        <v>2.4306338028169012</v>
      </c>
      <c r="J215" s="2">
        <f t="shared" si="22"/>
        <v>2.9129041654529564</v>
      </c>
      <c r="K215" s="3">
        <f t="shared" si="23"/>
        <v>1.7763040950964475</v>
      </c>
    </row>
    <row r="216" spans="1:11" x14ac:dyDescent="0.25">
      <c r="A216" s="4" t="s">
        <v>217</v>
      </c>
      <c r="B216" s="4">
        <v>195</v>
      </c>
      <c r="C216">
        <f t="shared" si="18"/>
        <v>0.97499999999999998</v>
      </c>
      <c r="D216">
        <f t="shared" si="19"/>
        <v>343.3</v>
      </c>
      <c r="E216">
        <v>70.3</v>
      </c>
      <c r="G216">
        <f t="shared" si="20"/>
        <v>343.3</v>
      </c>
      <c r="H216" s="2">
        <f t="shared" si="21"/>
        <v>2.4306338028169012</v>
      </c>
      <c r="J216" s="2">
        <f t="shared" si="22"/>
        <v>2.9129041654529564</v>
      </c>
      <c r="K216" s="3">
        <f t="shared" si="23"/>
        <v>1.7763040950964475</v>
      </c>
    </row>
    <row r="217" spans="1:11" x14ac:dyDescent="0.25">
      <c r="A217" s="4" t="s">
        <v>218</v>
      </c>
      <c r="B217" s="4">
        <v>194</v>
      </c>
      <c r="C217">
        <f t="shared" si="18"/>
        <v>0.97</v>
      </c>
      <c r="D217">
        <f t="shared" si="19"/>
        <v>343.3</v>
      </c>
      <c r="E217">
        <v>70.3</v>
      </c>
      <c r="G217">
        <f t="shared" si="20"/>
        <v>343.3</v>
      </c>
      <c r="H217" s="2">
        <f t="shared" si="21"/>
        <v>2.4181690140845071</v>
      </c>
      <c r="J217" s="2">
        <f t="shared" si="22"/>
        <v>2.9129041654529564</v>
      </c>
      <c r="K217" s="3">
        <f t="shared" si="23"/>
        <v>1.7660212960956103</v>
      </c>
    </row>
    <row r="218" spans="1:11" x14ac:dyDescent="0.25">
      <c r="A218" s="4" t="s">
        <v>219</v>
      </c>
      <c r="B218" s="4">
        <v>194</v>
      </c>
      <c r="C218">
        <f t="shared" si="18"/>
        <v>0.97</v>
      </c>
      <c r="D218">
        <f t="shared" si="19"/>
        <v>343.1</v>
      </c>
      <c r="E218">
        <v>70.099999999999994</v>
      </c>
      <c r="G218">
        <f t="shared" si="20"/>
        <v>343.1</v>
      </c>
      <c r="H218" s="2">
        <f t="shared" si="21"/>
        <v>2.4181690140845071</v>
      </c>
      <c r="J218" s="2">
        <f t="shared" si="22"/>
        <v>2.914602156805596</v>
      </c>
      <c r="K218" s="3">
        <f t="shared" si="23"/>
        <v>1.7660212960956103</v>
      </c>
    </row>
    <row r="219" spans="1:11" x14ac:dyDescent="0.25">
      <c r="A219" s="4" t="s">
        <v>220</v>
      </c>
      <c r="B219" s="4">
        <v>192</v>
      </c>
      <c r="C219">
        <f t="shared" si="18"/>
        <v>0.96</v>
      </c>
      <c r="D219">
        <f t="shared" si="19"/>
        <v>343.1</v>
      </c>
      <c r="E219">
        <v>70.099999999999994</v>
      </c>
      <c r="G219">
        <f t="shared" si="20"/>
        <v>343.1</v>
      </c>
      <c r="H219" s="2">
        <f t="shared" si="21"/>
        <v>2.3932394366197185</v>
      </c>
      <c r="J219" s="2">
        <f t="shared" si="22"/>
        <v>2.914602156805596</v>
      </c>
      <c r="K219" s="3">
        <f t="shared" si="23"/>
        <v>1.7452957220245173</v>
      </c>
    </row>
    <row r="220" spans="1:11" x14ac:dyDescent="0.25">
      <c r="A220" s="4" t="s">
        <v>221</v>
      </c>
      <c r="B220" s="4">
        <v>193</v>
      </c>
      <c r="C220">
        <f t="shared" si="18"/>
        <v>0.96499999999999997</v>
      </c>
      <c r="D220">
        <f t="shared" si="19"/>
        <v>343.1</v>
      </c>
      <c r="E220">
        <v>70.099999999999994</v>
      </c>
      <c r="G220">
        <f t="shared" si="20"/>
        <v>343.1</v>
      </c>
      <c r="H220" s="2">
        <f t="shared" si="21"/>
        <v>2.4057042253521126</v>
      </c>
      <c r="J220" s="2">
        <f t="shared" si="22"/>
        <v>2.914602156805596</v>
      </c>
      <c r="K220" s="3">
        <f t="shared" si="23"/>
        <v>1.7556853557787251</v>
      </c>
    </row>
    <row r="221" spans="1:11" x14ac:dyDescent="0.25">
      <c r="A221" s="4" t="s">
        <v>222</v>
      </c>
      <c r="B221" s="4">
        <v>192</v>
      </c>
      <c r="C221">
        <f t="shared" si="18"/>
        <v>0.96</v>
      </c>
      <c r="D221">
        <f t="shared" si="19"/>
        <v>343</v>
      </c>
      <c r="E221">
        <v>70</v>
      </c>
      <c r="G221">
        <f t="shared" si="20"/>
        <v>343</v>
      </c>
      <c r="H221" s="2">
        <f t="shared" si="21"/>
        <v>2.3932394366197185</v>
      </c>
      <c r="J221" s="2">
        <f t="shared" si="22"/>
        <v>2.9154518950437316</v>
      </c>
      <c r="K221" s="3">
        <f t="shared" si="23"/>
        <v>1.7452957220245173</v>
      </c>
    </row>
    <row r="222" spans="1:11" x14ac:dyDescent="0.25">
      <c r="A222" s="4" t="s">
        <v>223</v>
      </c>
      <c r="B222" s="4">
        <v>192</v>
      </c>
      <c r="C222">
        <f t="shared" si="18"/>
        <v>0.96</v>
      </c>
      <c r="D222">
        <f t="shared" si="19"/>
        <v>343</v>
      </c>
      <c r="E222">
        <v>70</v>
      </c>
      <c r="G222">
        <f t="shared" si="20"/>
        <v>343</v>
      </c>
      <c r="H222" s="2">
        <f t="shared" si="21"/>
        <v>2.3932394366197185</v>
      </c>
      <c r="J222" s="2">
        <f t="shared" si="22"/>
        <v>2.9154518950437316</v>
      </c>
      <c r="K222" s="3">
        <f t="shared" si="23"/>
        <v>1.7452957220245173</v>
      </c>
    </row>
    <row r="223" spans="1:11" x14ac:dyDescent="0.25">
      <c r="A223" s="4" t="s">
        <v>224</v>
      </c>
      <c r="B223" s="4">
        <v>191</v>
      </c>
      <c r="C223">
        <f t="shared" si="18"/>
        <v>0.95499999999999996</v>
      </c>
      <c r="D223">
        <f t="shared" si="19"/>
        <v>343</v>
      </c>
      <c r="E223">
        <v>70</v>
      </c>
      <c r="G223">
        <f t="shared" si="20"/>
        <v>343</v>
      </c>
      <c r="H223" s="2">
        <f t="shared" si="21"/>
        <v>2.380774647887324</v>
      </c>
      <c r="J223" s="2">
        <f t="shared" si="22"/>
        <v>2.9154518950437316</v>
      </c>
      <c r="K223" s="3">
        <f t="shared" si="23"/>
        <v>1.7348518340622139</v>
      </c>
    </row>
    <row r="224" spans="1:11" x14ac:dyDescent="0.25">
      <c r="A224" s="4" t="s">
        <v>225</v>
      </c>
      <c r="B224" s="4">
        <v>190</v>
      </c>
      <c r="C224">
        <f t="shared" si="18"/>
        <v>0.95</v>
      </c>
      <c r="D224">
        <f t="shared" si="19"/>
        <v>342.8</v>
      </c>
      <c r="E224">
        <v>69.8</v>
      </c>
      <c r="G224">
        <f t="shared" si="20"/>
        <v>342.8</v>
      </c>
      <c r="H224" s="2">
        <f t="shared" si="21"/>
        <v>2.3683098591549299</v>
      </c>
      <c r="J224" s="2">
        <f t="shared" si="22"/>
        <v>2.9171528588098017</v>
      </c>
      <c r="K224" s="3">
        <f t="shared" si="23"/>
        <v>1.7243531222899267</v>
      </c>
    </row>
    <row r="225" spans="1:11" x14ac:dyDescent="0.25">
      <c r="A225" s="4" t="s">
        <v>226</v>
      </c>
      <c r="B225" s="4">
        <v>190</v>
      </c>
      <c r="C225">
        <f t="shared" si="18"/>
        <v>0.95</v>
      </c>
      <c r="D225">
        <f t="shared" si="19"/>
        <v>342.8</v>
      </c>
      <c r="E225">
        <v>69.8</v>
      </c>
      <c r="G225">
        <f t="shared" si="20"/>
        <v>342.8</v>
      </c>
      <c r="H225" s="2">
        <f t="shared" si="21"/>
        <v>2.3683098591549299</v>
      </c>
      <c r="J225" s="2">
        <f t="shared" si="22"/>
        <v>2.9171528588098017</v>
      </c>
      <c r="K225" s="3">
        <f t="shared" si="23"/>
        <v>1.7243531222899267</v>
      </c>
    </row>
    <row r="226" spans="1:11" x14ac:dyDescent="0.25">
      <c r="A226" s="4" t="s">
        <v>227</v>
      </c>
      <c r="B226" s="4">
        <v>189</v>
      </c>
      <c r="C226">
        <f t="shared" si="18"/>
        <v>0.94499999999999995</v>
      </c>
      <c r="D226">
        <f t="shared" si="19"/>
        <v>342.8</v>
      </c>
      <c r="E226">
        <v>69.8</v>
      </c>
      <c r="G226">
        <f t="shared" si="20"/>
        <v>342.8</v>
      </c>
      <c r="H226" s="2">
        <f t="shared" si="21"/>
        <v>2.3558450704225353</v>
      </c>
      <c r="J226" s="2">
        <f t="shared" si="22"/>
        <v>2.9171528588098017</v>
      </c>
      <c r="K226" s="3">
        <f t="shared" si="23"/>
        <v>1.713799008088239</v>
      </c>
    </row>
    <row r="227" spans="1:11" x14ac:dyDescent="0.25">
      <c r="A227" s="4" t="s">
        <v>228</v>
      </c>
      <c r="B227" s="4">
        <v>190</v>
      </c>
      <c r="C227">
        <f t="shared" si="18"/>
        <v>0.95</v>
      </c>
      <c r="D227">
        <f t="shared" si="19"/>
        <v>342.6</v>
      </c>
      <c r="E227">
        <v>69.599999999999994</v>
      </c>
      <c r="G227">
        <f t="shared" si="20"/>
        <v>342.6</v>
      </c>
      <c r="H227" s="2">
        <f t="shared" si="21"/>
        <v>2.3683098591549299</v>
      </c>
      <c r="J227" s="2">
        <f t="shared" si="22"/>
        <v>2.9188558085230589</v>
      </c>
      <c r="K227" s="3">
        <f t="shared" si="23"/>
        <v>1.7243531222899267</v>
      </c>
    </row>
    <row r="228" spans="1:11" x14ac:dyDescent="0.25">
      <c r="A228" s="4" t="s">
        <v>229</v>
      </c>
      <c r="B228" s="4">
        <v>190</v>
      </c>
      <c r="C228">
        <f t="shared" si="18"/>
        <v>0.95</v>
      </c>
      <c r="D228">
        <f t="shared" si="19"/>
        <v>342.6</v>
      </c>
      <c r="E228">
        <v>69.599999999999994</v>
      </c>
      <c r="G228">
        <f t="shared" si="20"/>
        <v>342.6</v>
      </c>
      <c r="H228" s="2">
        <f t="shared" si="21"/>
        <v>2.3683098591549299</v>
      </c>
      <c r="J228" s="2">
        <f t="shared" si="22"/>
        <v>2.9188558085230589</v>
      </c>
      <c r="K228" s="3">
        <f t="shared" si="23"/>
        <v>1.7243531222899267</v>
      </c>
    </row>
    <row r="229" spans="1:11" x14ac:dyDescent="0.25">
      <c r="A229" s="4" t="s">
        <v>230</v>
      </c>
      <c r="B229" s="4">
        <v>190</v>
      </c>
      <c r="C229">
        <f t="shared" si="18"/>
        <v>0.95</v>
      </c>
      <c r="D229">
        <f t="shared" si="19"/>
        <v>342.6</v>
      </c>
      <c r="E229">
        <v>69.599999999999994</v>
      </c>
      <c r="G229">
        <f t="shared" si="20"/>
        <v>342.6</v>
      </c>
      <c r="H229" s="2">
        <f t="shared" si="21"/>
        <v>2.3683098591549299</v>
      </c>
      <c r="J229" s="2">
        <f t="shared" si="22"/>
        <v>2.9188558085230589</v>
      </c>
      <c r="K229" s="3">
        <f t="shared" si="23"/>
        <v>1.7243531222899267</v>
      </c>
    </row>
    <row r="230" spans="1:11" x14ac:dyDescent="0.25">
      <c r="A230" s="4" t="s">
        <v>231</v>
      </c>
      <c r="B230" s="4">
        <v>188</v>
      </c>
      <c r="C230">
        <f t="shared" si="18"/>
        <v>0.94</v>
      </c>
      <c r="D230">
        <f t="shared" si="19"/>
        <v>342.3</v>
      </c>
      <c r="E230">
        <v>69.3</v>
      </c>
      <c r="G230">
        <f t="shared" si="20"/>
        <v>342.3</v>
      </c>
      <c r="H230" s="2">
        <f t="shared" si="21"/>
        <v>2.3433802816901408</v>
      </c>
      <c r="J230" s="2">
        <f t="shared" si="22"/>
        <v>2.9214139643587496</v>
      </c>
      <c r="K230" s="3">
        <f t="shared" si="23"/>
        <v>1.7031889036288526</v>
      </c>
    </row>
    <row r="231" spans="1:11" x14ac:dyDescent="0.25">
      <c r="A231" s="4" t="s">
        <v>232</v>
      </c>
      <c r="B231" s="4">
        <v>187</v>
      </c>
      <c r="C231">
        <f t="shared" si="18"/>
        <v>0.93500000000000005</v>
      </c>
      <c r="D231">
        <f t="shared" si="19"/>
        <v>342.3</v>
      </c>
      <c r="E231">
        <v>69.3</v>
      </c>
      <c r="G231">
        <f t="shared" si="20"/>
        <v>342.3</v>
      </c>
      <c r="H231" s="2">
        <f t="shared" si="21"/>
        <v>2.3309154929577467</v>
      </c>
      <c r="J231" s="2">
        <f t="shared" si="22"/>
        <v>2.9214139643587496</v>
      </c>
      <c r="K231" s="3">
        <f t="shared" si="23"/>
        <v>1.6925222116781276</v>
      </c>
    </row>
    <row r="232" spans="1:11" x14ac:dyDescent="0.25">
      <c r="A232" s="4" t="s">
        <v>233</v>
      </c>
      <c r="B232" s="4">
        <v>187</v>
      </c>
      <c r="C232">
        <f t="shared" si="18"/>
        <v>0.93500000000000005</v>
      </c>
      <c r="D232">
        <f t="shared" si="19"/>
        <v>342.3</v>
      </c>
      <c r="E232">
        <v>69.3</v>
      </c>
      <c r="G232">
        <f t="shared" si="20"/>
        <v>342.3</v>
      </c>
      <c r="H232" s="2">
        <f t="shared" si="21"/>
        <v>2.3309154929577467</v>
      </c>
      <c r="J232" s="2">
        <f t="shared" si="22"/>
        <v>2.9214139643587496</v>
      </c>
      <c r="K232" s="3">
        <f t="shared" si="23"/>
        <v>1.6925222116781276</v>
      </c>
    </row>
    <row r="233" spans="1:11" x14ac:dyDescent="0.25">
      <c r="A233" s="4" t="s">
        <v>234</v>
      </c>
      <c r="B233" s="4">
        <v>187</v>
      </c>
      <c r="C233">
        <f t="shared" si="18"/>
        <v>0.93500000000000005</v>
      </c>
      <c r="D233">
        <f t="shared" si="19"/>
        <v>342.3</v>
      </c>
      <c r="E233">
        <v>69.3</v>
      </c>
      <c r="G233">
        <f t="shared" si="20"/>
        <v>342.3</v>
      </c>
      <c r="H233" s="2">
        <f t="shared" si="21"/>
        <v>2.3309154929577467</v>
      </c>
      <c r="J233" s="2">
        <f t="shared" si="22"/>
        <v>2.9214139643587496</v>
      </c>
      <c r="K233" s="3">
        <f t="shared" si="23"/>
        <v>1.6925222116781276</v>
      </c>
    </row>
    <row r="234" spans="1:11" x14ac:dyDescent="0.25">
      <c r="A234" s="4" t="s">
        <v>235</v>
      </c>
      <c r="B234" s="4">
        <v>187</v>
      </c>
      <c r="C234">
        <f t="shared" si="18"/>
        <v>0.93500000000000005</v>
      </c>
      <c r="D234">
        <f t="shared" si="19"/>
        <v>342</v>
      </c>
      <c r="E234">
        <v>69</v>
      </c>
      <c r="G234">
        <f t="shared" si="20"/>
        <v>342</v>
      </c>
      <c r="H234" s="2">
        <f t="shared" si="21"/>
        <v>2.3309154929577467</v>
      </c>
      <c r="J234" s="2">
        <f t="shared" si="22"/>
        <v>2.9239766081871346</v>
      </c>
      <c r="K234" s="3">
        <f t="shared" si="23"/>
        <v>1.6925222116781276</v>
      </c>
    </row>
    <row r="235" spans="1:11" x14ac:dyDescent="0.25">
      <c r="A235" s="4" t="s">
        <v>236</v>
      </c>
      <c r="B235" s="4">
        <v>185</v>
      </c>
      <c r="C235">
        <f t="shared" si="18"/>
        <v>0.92500000000000004</v>
      </c>
      <c r="D235">
        <f t="shared" si="19"/>
        <v>342</v>
      </c>
      <c r="E235">
        <v>69</v>
      </c>
      <c r="G235">
        <f t="shared" si="20"/>
        <v>342</v>
      </c>
      <c r="H235" s="2">
        <f t="shared" si="21"/>
        <v>2.3059859154929576</v>
      </c>
      <c r="J235" s="2">
        <f t="shared" si="22"/>
        <v>2.9239766081871346</v>
      </c>
      <c r="K235" s="3">
        <f t="shared" si="23"/>
        <v>1.6710166281256036</v>
      </c>
    </row>
    <row r="236" spans="1:11" x14ac:dyDescent="0.25">
      <c r="A236" s="4" t="s">
        <v>237</v>
      </c>
      <c r="B236" s="4">
        <v>186</v>
      </c>
      <c r="C236">
        <f t="shared" si="18"/>
        <v>0.93</v>
      </c>
      <c r="D236">
        <f t="shared" si="19"/>
        <v>342</v>
      </c>
      <c r="E236">
        <v>69</v>
      </c>
      <c r="G236">
        <f t="shared" si="20"/>
        <v>342</v>
      </c>
      <c r="H236" s="2">
        <f t="shared" si="21"/>
        <v>2.3184507042253522</v>
      </c>
      <c r="J236" s="2">
        <f t="shared" si="22"/>
        <v>2.9239766081871346</v>
      </c>
      <c r="K236" s="3">
        <f t="shared" si="23"/>
        <v>1.6817983253953566</v>
      </c>
    </row>
    <row r="237" spans="1:11" x14ac:dyDescent="0.25">
      <c r="A237" s="4" t="s">
        <v>238</v>
      </c>
      <c r="B237" s="4">
        <v>185</v>
      </c>
      <c r="C237">
        <f t="shared" si="18"/>
        <v>0.92500000000000004</v>
      </c>
      <c r="D237">
        <f t="shared" si="19"/>
        <v>341.6</v>
      </c>
      <c r="E237">
        <v>68.599999999999994</v>
      </c>
      <c r="G237">
        <f t="shared" si="20"/>
        <v>341.6</v>
      </c>
      <c r="H237" s="2">
        <f t="shared" si="21"/>
        <v>2.3059859154929576</v>
      </c>
      <c r="J237" s="2">
        <f t="shared" si="22"/>
        <v>2.9274004683840746</v>
      </c>
      <c r="K237" s="3">
        <f t="shared" si="23"/>
        <v>1.6710166281256036</v>
      </c>
    </row>
    <row r="238" spans="1:11" x14ac:dyDescent="0.25">
      <c r="A238" s="4" t="s">
        <v>239</v>
      </c>
      <c r="B238" s="4">
        <v>185</v>
      </c>
      <c r="C238">
        <f t="shared" si="18"/>
        <v>0.92500000000000004</v>
      </c>
      <c r="D238">
        <f t="shared" si="19"/>
        <v>341.6</v>
      </c>
      <c r="E238">
        <v>68.599999999999994</v>
      </c>
      <c r="G238">
        <f t="shared" si="20"/>
        <v>341.6</v>
      </c>
      <c r="H238" s="2">
        <f t="shared" si="21"/>
        <v>2.3059859154929576</v>
      </c>
      <c r="J238" s="2">
        <f t="shared" si="22"/>
        <v>2.9274004683840746</v>
      </c>
      <c r="K238" s="3">
        <f t="shared" si="23"/>
        <v>1.6710166281256036</v>
      </c>
    </row>
    <row r="239" spans="1:11" x14ac:dyDescent="0.25">
      <c r="A239" s="4" t="s">
        <v>240</v>
      </c>
      <c r="B239" s="4">
        <v>184</v>
      </c>
      <c r="C239">
        <f t="shared" si="18"/>
        <v>0.92</v>
      </c>
      <c r="D239">
        <f t="shared" si="19"/>
        <v>341.6</v>
      </c>
      <c r="E239">
        <v>68.599999999999994</v>
      </c>
      <c r="G239">
        <f t="shared" si="20"/>
        <v>341.6</v>
      </c>
      <c r="H239" s="2">
        <f t="shared" si="21"/>
        <v>2.2935211267605635</v>
      </c>
      <c r="J239" s="2">
        <f t="shared" si="22"/>
        <v>2.9274004683840746</v>
      </c>
      <c r="K239" s="3">
        <f t="shared" si="23"/>
        <v>1.6601764931869254</v>
      </c>
    </row>
    <row r="240" spans="1:11" x14ac:dyDescent="0.25">
      <c r="A240" s="4" t="s">
        <v>241</v>
      </c>
      <c r="B240" s="4">
        <v>183</v>
      </c>
      <c r="C240">
        <f t="shared" si="18"/>
        <v>0.91500000000000004</v>
      </c>
      <c r="D240">
        <f t="shared" si="19"/>
        <v>341.2</v>
      </c>
      <c r="E240">
        <v>68.2</v>
      </c>
      <c r="G240">
        <f t="shared" si="20"/>
        <v>341.2</v>
      </c>
      <c r="H240" s="2">
        <f t="shared" si="21"/>
        <v>2.281056338028169</v>
      </c>
      <c r="J240" s="2">
        <f t="shared" si="22"/>
        <v>2.9308323563892147</v>
      </c>
      <c r="K240" s="3">
        <f t="shared" si="23"/>
        <v>1.6492772836517959</v>
      </c>
    </row>
    <row r="241" spans="1:11" x14ac:dyDescent="0.25">
      <c r="A241" s="4" t="s">
        <v>242</v>
      </c>
      <c r="B241" s="4">
        <v>184</v>
      </c>
      <c r="C241">
        <f t="shared" si="18"/>
        <v>0.92</v>
      </c>
      <c r="D241">
        <f t="shared" si="19"/>
        <v>341.2</v>
      </c>
      <c r="E241">
        <v>68.2</v>
      </c>
      <c r="G241">
        <f t="shared" si="20"/>
        <v>341.2</v>
      </c>
      <c r="H241" s="2">
        <f t="shared" si="21"/>
        <v>2.2935211267605635</v>
      </c>
      <c r="J241" s="2">
        <f t="shared" si="22"/>
        <v>2.9308323563892147</v>
      </c>
      <c r="K241" s="3">
        <f t="shared" si="23"/>
        <v>1.6601764931869254</v>
      </c>
    </row>
    <row r="242" spans="1:11" x14ac:dyDescent="0.25">
      <c r="A242" s="4" t="s">
        <v>243</v>
      </c>
      <c r="B242" s="4">
        <v>186</v>
      </c>
      <c r="C242">
        <f t="shared" si="18"/>
        <v>0.93</v>
      </c>
      <c r="D242">
        <f t="shared" si="19"/>
        <v>341.2</v>
      </c>
      <c r="E242">
        <v>68.2</v>
      </c>
      <c r="G242">
        <f t="shared" si="20"/>
        <v>341.2</v>
      </c>
      <c r="H242" s="2">
        <f t="shared" si="21"/>
        <v>2.3184507042253522</v>
      </c>
      <c r="J242" s="2">
        <f t="shared" si="22"/>
        <v>2.9308323563892147</v>
      </c>
      <c r="K242" s="3">
        <f t="shared" si="23"/>
        <v>1.6817983253953566</v>
      </c>
    </row>
    <row r="243" spans="1:11" x14ac:dyDescent="0.25">
      <c r="A243" s="4" t="s">
        <v>244</v>
      </c>
      <c r="B243" s="4">
        <v>185</v>
      </c>
      <c r="C243">
        <f t="shared" si="18"/>
        <v>0.92500000000000004</v>
      </c>
      <c r="D243">
        <f t="shared" si="19"/>
        <v>340.7</v>
      </c>
      <c r="E243">
        <v>67.7</v>
      </c>
      <c r="G243">
        <f t="shared" si="20"/>
        <v>340.7</v>
      </c>
      <c r="H243" s="2">
        <f t="shared" si="21"/>
        <v>2.3059859154929576</v>
      </c>
      <c r="J243" s="2">
        <f t="shared" si="22"/>
        <v>2.9351335485764602</v>
      </c>
      <c r="K243" s="3">
        <f t="shared" si="23"/>
        <v>1.6710166281256036</v>
      </c>
    </row>
    <row r="244" spans="1:11" x14ac:dyDescent="0.25">
      <c r="A244" s="4" t="s">
        <v>245</v>
      </c>
      <c r="B244" s="4">
        <v>185</v>
      </c>
      <c r="C244">
        <f t="shared" si="18"/>
        <v>0.92500000000000004</v>
      </c>
      <c r="D244">
        <f t="shared" si="19"/>
        <v>340.7</v>
      </c>
      <c r="E244">
        <v>67.7</v>
      </c>
      <c r="G244">
        <f t="shared" si="20"/>
        <v>340.7</v>
      </c>
      <c r="H244" s="2">
        <f t="shared" si="21"/>
        <v>2.3059859154929576</v>
      </c>
      <c r="J244" s="2">
        <f t="shared" si="22"/>
        <v>2.9351335485764602</v>
      </c>
      <c r="K244" s="3">
        <f t="shared" si="23"/>
        <v>1.6710166281256036</v>
      </c>
    </row>
    <row r="245" spans="1:11" x14ac:dyDescent="0.25">
      <c r="A245" s="4" t="s">
        <v>246</v>
      </c>
      <c r="B245" s="4">
        <v>184</v>
      </c>
      <c r="C245">
        <f t="shared" si="18"/>
        <v>0.92</v>
      </c>
      <c r="D245">
        <f t="shared" si="19"/>
        <v>340.7</v>
      </c>
      <c r="E245">
        <v>67.7</v>
      </c>
      <c r="G245">
        <f t="shared" si="20"/>
        <v>340.7</v>
      </c>
      <c r="H245" s="2">
        <f t="shared" si="21"/>
        <v>2.2935211267605635</v>
      </c>
      <c r="J245" s="2">
        <f t="shared" si="22"/>
        <v>2.9351335485764602</v>
      </c>
      <c r="K245" s="3">
        <f t="shared" si="23"/>
        <v>1.6601764931869254</v>
      </c>
    </row>
    <row r="246" spans="1:11" x14ac:dyDescent="0.25">
      <c r="A246" s="4" t="s">
        <v>247</v>
      </c>
      <c r="B246" s="4">
        <v>184</v>
      </c>
      <c r="C246">
        <f t="shared" si="18"/>
        <v>0.92</v>
      </c>
      <c r="D246">
        <f t="shared" si="19"/>
        <v>340.5</v>
      </c>
      <c r="E246">
        <v>67.5</v>
      </c>
      <c r="G246">
        <f t="shared" si="20"/>
        <v>340.5</v>
      </c>
      <c r="H246" s="2">
        <f t="shared" si="21"/>
        <v>2.2935211267605635</v>
      </c>
      <c r="J246" s="2">
        <f t="shared" si="22"/>
        <v>2.9368575624082234</v>
      </c>
      <c r="K246" s="3">
        <f t="shared" si="23"/>
        <v>1.6601764931869254</v>
      </c>
    </row>
    <row r="247" spans="1:11" x14ac:dyDescent="0.25">
      <c r="A247" s="4" t="s">
        <v>248</v>
      </c>
      <c r="B247" s="4">
        <v>185</v>
      </c>
      <c r="C247">
        <f t="shared" si="18"/>
        <v>0.92500000000000004</v>
      </c>
      <c r="D247">
        <f t="shared" si="19"/>
        <v>340.5</v>
      </c>
      <c r="E247">
        <v>67.5</v>
      </c>
      <c r="G247">
        <f t="shared" si="20"/>
        <v>340.5</v>
      </c>
      <c r="H247" s="2">
        <f t="shared" si="21"/>
        <v>2.3059859154929576</v>
      </c>
      <c r="J247" s="2">
        <f t="shared" si="22"/>
        <v>2.9368575624082234</v>
      </c>
      <c r="K247" s="3">
        <f t="shared" si="23"/>
        <v>1.6710166281256036</v>
      </c>
    </row>
    <row r="248" spans="1:11" x14ac:dyDescent="0.25">
      <c r="A248" s="4" t="s">
        <v>249</v>
      </c>
      <c r="B248" s="4">
        <v>184</v>
      </c>
      <c r="C248">
        <f t="shared" si="18"/>
        <v>0.92</v>
      </c>
      <c r="D248">
        <f t="shared" si="19"/>
        <v>340.5</v>
      </c>
      <c r="E248">
        <v>67.5</v>
      </c>
      <c r="G248">
        <f t="shared" si="20"/>
        <v>340.5</v>
      </c>
      <c r="H248" s="2">
        <f t="shared" si="21"/>
        <v>2.2935211267605635</v>
      </c>
      <c r="J248" s="2">
        <f t="shared" si="22"/>
        <v>2.9368575624082234</v>
      </c>
      <c r="K248" s="3">
        <f t="shared" si="23"/>
        <v>1.6601764931869254</v>
      </c>
    </row>
    <row r="249" spans="1:11" x14ac:dyDescent="0.25">
      <c r="A249" s="4" t="s">
        <v>250</v>
      </c>
      <c r="B249" s="4">
        <v>182</v>
      </c>
      <c r="C249">
        <f t="shared" si="18"/>
        <v>0.91</v>
      </c>
      <c r="D249">
        <f t="shared" si="19"/>
        <v>340.5</v>
      </c>
      <c r="E249">
        <v>67.5</v>
      </c>
      <c r="G249">
        <f t="shared" si="20"/>
        <v>340.5</v>
      </c>
      <c r="H249" s="2">
        <f t="shared" si="21"/>
        <v>2.2685915492957744</v>
      </c>
      <c r="J249" s="2">
        <f t="shared" si="22"/>
        <v>2.9368575624082234</v>
      </c>
      <c r="K249" s="3">
        <f t="shared" si="23"/>
        <v>1.6383183521225446</v>
      </c>
    </row>
    <row r="250" spans="1:11" x14ac:dyDescent="0.25">
      <c r="A250" s="4" t="s">
        <v>251</v>
      </c>
      <c r="B250" s="4">
        <v>183</v>
      </c>
      <c r="C250">
        <f t="shared" si="18"/>
        <v>0.91500000000000004</v>
      </c>
      <c r="D250">
        <f t="shared" si="19"/>
        <v>340.1</v>
      </c>
      <c r="E250">
        <v>67.099999999999994</v>
      </c>
      <c r="G250">
        <f t="shared" si="20"/>
        <v>340.1</v>
      </c>
      <c r="H250" s="2">
        <f t="shared" si="21"/>
        <v>2.281056338028169</v>
      </c>
      <c r="J250" s="2">
        <f t="shared" si="22"/>
        <v>2.9403116730373418</v>
      </c>
      <c r="K250" s="3">
        <f t="shared" si="23"/>
        <v>1.6492772836517959</v>
      </c>
    </row>
    <row r="251" spans="1:11" x14ac:dyDescent="0.25">
      <c r="A251" s="4" t="s">
        <v>252</v>
      </c>
      <c r="B251" s="4">
        <v>183</v>
      </c>
      <c r="C251">
        <f t="shared" si="18"/>
        <v>0.91500000000000004</v>
      </c>
      <c r="D251">
        <f t="shared" si="19"/>
        <v>340.1</v>
      </c>
      <c r="E251">
        <v>67.099999999999994</v>
      </c>
      <c r="G251">
        <f t="shared" si="20"/>
        <v>340.1</v>
      </c>
      <c r="H251" s="2">
        <f t="shared" si="21"/>
        <v>2.281056338028169</v>
      </c>
      <c r="J251" s="2">
        <f t="shared" si="22"/>
        <v>2.9403116730373418</v>
      </c>
      <c r="K251" s="3">
        <f t="shared" si="23"/>
        <v>1.6492772836517959</v>
      </c>
    </row>
    <row r="252" spans="1:11" x14ac:dyDescent="0.25">
      <c r="A252" s="4" t="s">
        <v>253</v>
      </c>
      <c r="B252" s="4">
        <v>182</v>
      </c>
      <c r="C252">
        <f t="shared" si="18"/>
        <v>0.91</v>
      </c>
      <c r="D252">
        <f t="shared" si="19"/>
        <v>340.1</v>
      </c>
      <c r="E252">
        <v>67.099999999999994</v>
      </c>
      <c r="G252">
        <f t="shared" si="20"/>
        <v>340.1</v>
      </c>
      <c r="H252" s="2">
        <f t="shared" si="21"/>
        <v>2.2685915492957744</v>
      </c>
      <c r="J252" s="2">
        <f t="shared" si="22"/>
        <v>2.9403116730373418</v>
      </c>
      <c r="K252" s="3">
        <f t="shared" si="23"/>
        <v>1.6383183521225446</v>
      </c>
    </row>
    <row r="253" spans="1:11" x14ac:dyDescent="0.25">
      <c r="A253" s="4" t="s">
        <v>254</v>
      </c>
      <c r="B253" s="4">
        <v>181</v>
      </c>
      <c r="C253">
        <f t="shared" si="18"/>
        <v>0.90500000000000003</v>
      </c>
      <c r="D253">
        <f t="shared" si="19"/>
        <v>340.1</v>
      </c>
      <c r="E253">
        <v>67.099999999999994</v>
      </c>
      <c r="G253">
        <f t="shared" si="20"/>
        <v>340.1</v>
      </c>
      <c r="H253" s="2">
        <f t="shared" si="21"/>
        <v>2.2561267605633804</v>
      </c>
      <c r="J253" s="2">
        <f t="shared" si="22"/>
        <v>2.9403116730373418</v>
      </c>
      <c r="K253" s="3">
        <f t="shared" si="23"/>
        <v>1.6272990405006056</v>
      </c>
    </row>
    <row r="254" spans="1:11" x14ac:dyDescent="0.25">
      <c r="A254" s="4" t="s">
        <v>255</v>
      </c>
      <c r="B254" s="4">
        <v>181</v>
      </c>
      <c r="C254">
        <f t="shared" si="18"/>
        <v>0.90500000000000003</v>
      </c>
      <c r="D254">
        <f t="shared" si="19"/>
        <v>340.1</v>
      </c>
      <c r="E254">
        <v>67.099999999999994</v>
      </c>
      <c r="G254">
        <f t="shared" si="20"/>
        <v>340.1</v>
      </c>
      <c r="H254" s="2">
        <f t="shared" si="21"/>
        <v>2.2561267605633804</v>
      </c>
      <c r="J254" s="2">
        <f t="shared" si="22"/>
        <v>2.9403116730373418</v>
      </c>
      <c r="K254" s="3">
        <f t="shared" si="23"/>
        <v>1.6272990405006056</v>
      </c>
    </row>
    <row r="255" spans="1:11" x14ac:dyDescent="0.25">
      <c r="A255" s="4" t="s">
        <v>256</v>
      </c>
      <c r="B255" s="4">
        <v>182</v>
      </c>
      <c r="C255">
        <f t="shared" si="18"/>
        <v>0.91</v>
      </c>
      <c r="D255">
        <f t="shared" si="19"/>
        <v>340.1</v>
      </c>
      <c r="E255">
        <v>67.099999999999994</v>
      </c>
      <c r="G255">
        <f t="shared" si="20"/>
        <v>340.1</v>
      </c>
      <c r="H255" s="2">
        <f t="shared" si="21"/>
        <v>2.2685915492957744</v>
      </c>
      <c r="J255" s="2">
        <f t="shared" si="22"/>
        <v>2.9403116730373418</v>
      </c>
      <c r="K255" s="3">
        <f t="shared" si="23"/>
        <v>1.6383183521225446</v>
      </c>
    </row>
    <row r="256" spans="1:11" x14ac:dyDescent="0.25">
      <c r="A256" s="4" t="s">
        <v>257</v>
      </c>
      <c r="B256" s="4">
        <v>182</v>
      </c>
      <c r="C256">
        <f t="shared" si="18"/>
        <v>0.91</v>
      </c>
      <c r="D256">
        <f t="shared" si="19"/>
        <v>339.9</v>
      </c>
      <c r="E256">
        <v>66.900000000000006</v>
      </c>
      <c r="G256">
        <f t="shared" si="20"/>
        <v>339.9</v>
      </c>
      <c r="H256" s="2">
        <f t="shared" si="21"/>
        <v>2.2685915492957744</v>
      </c>
      <c r="J256" s="2">
        <f t="shared" si="22"/>
        <v>2.9420417769932334</v>
      </c>
      <c r="K256" s="3">
        <f t="shared" si="23"/>
        <v>1.6383183521225446</v>
      </c>
    </row>
    <row r="257" spans="1:11" x14ac:dyDescent="0.25">
      <c r="A257" s="4" t="s">
        <v>258</v>
      </c>
      <c r="B257" s="4">
        <v>181</v>
      </c>
      <c r="C257">
        <f t="shared" si="18"/>
        <v>0.90500000000000003</v>
      </c>
      <c r="D257">
        <f t="shared" si="19"/>
        <v>339.9</v>
      </c>
      <c r="E257">
        <v>66.900000000000006</v>
      </c>
      <c r="G257">
        <f t="shared" si="20"/>
        <v>339.9</v>
      </c>
      <c r="H257" s="2">
        <f t="shared" si="21"/>
        <v>2.2561267605633804</v>
      </c>
      <c r="J257" s="2">
        <f t="shared" si="22"/>
        <v>2.9420417769932334</v>
      </c>
      <c r="K257" s="3">
        <f t="shared" si="23"/>
        <v>1.6272990405006056</v>
      </c>
    </row>
    <row r="258" spans="1:11" x14ac:dyDescent="0.25">
      <c r="A258" s="4" t="s">
        <v>259</v>
      </c>
      <c r="B258" s="4">
        <v>178</v>
      </c>
      <c r="C258">
        <f t="shared" si="18"/>
        <v>0.89</v>
      </c>
      <c r="D258">
        <f t="shared" si="19"/>
        <v>339.9</v>
      </c>
      <c r="E258">
        <v>66.900000000000006</v>
      </c>
      <c r="G258">
        <f t="shared" si="20"/>
        <v>339.9</v>
      </c>
      <c r="H258" s="2">
        <f t="shared" si="21"/>
        <v>2.2187323943661972</v>
      </c>
      <c r="J258" s="2">
        <f t="shared" si="22"/>
        <v>2.9420417769932334</v>
      </c>
      <c r="K258" s="3">
        <f t="shared" si="23"/>
        <v>1.5938720785531244</v>
      </c>
    </row>
    <row r="259" spans="1:11" x14ac:dyDescent="0.25">
      <c r="A259" s="4" t="s">
        <v>260</v>
      </c>
      <c r="B259" s="4">
        <v>179</v>
      </c>
      <c r="C259">
        <f t="shared" si="18"/>
        <v>0.89500000000000002</v>
      </c>
      <c r="D259">
        <f t="shared" si="19"/>
        <v>339.8</v>
      </c>
      <c r="E259">
        <v>66.8</v>
      </c>
      <c r="G259">
        <f t="shared" si="20"/>
        <v>339.8</v>
      </c>
      <c r="H259" s="2">
        <f t="shared" si="21"/>
        <v>2.2311971830985913</v>
      </c>
      <c r="J259" s="2">
        <f t="shared" si="22"/>
        <v>2.9429075927015891</v>
      </c>
      <c r="K259" s="3">
        <f t="shared" si="23"/>
        <v>1.605076589650464</v>
      </c>
    </row>
    <row r="260" spans="1:11" x14ac:dyDescent="0.25">
      <c r="A260" s="4" t="s">
        <v>261</v>
      </c>
      <c r="B260" s="4">
        <v>178</v>
      </c>
      <c r="C260">
        <f t="shared" si="18"/>
        <v>0.89</v>
      </c>
      <c r="D260">
        <f t="shared" si="19"/>
        <v>339.8</v>
      </c>
      <c r="E260">
        <v>66.8</v>
      </c>
      <c r="G260">
        <f t="shared" si="20"/>
        <v>339.8</v>
      </c>
      <c r="H260" s="2">
        <f t="shared" si="21"/>
        <v>2.2187323943661972</v>
      </c>
      <c r="J260" s="2">
        <f t="shared" si="22"/>
        <v>2.9429075927015891</v>
      </c>
      <c r="K260" s="3">
        <f t="shared" si="23"/>
        <v>1.5938720785531244</v>
      </c>
    </row>
    <row r="261" spans="1:11" x14ac:dyDescent="0.25">
      <c r="A261" s="4" t="s">
        <v>262</v>
      </c>
      <c r="B261" s="4">
        <v>178</v>
      </c>
      <c r="C261">
        <f t="shared" si="18"/>
        <v>0.89</v>
      </c>
      <c r="D261">
        <f t="shared" si="19"/>
        <v>339.8</v>
      </c>
      <c r="E261">
        <v>66.8</v>
      </c>
      <c r="G261">
        <f t="shared" si="20"/>
        <v>339.8</v>
      </c>
      <c r="H261" s="2">
        <f t="shared" si="21"/>
        <v>2.2187323943661972</v>
      </c>
      <c r="J261" s="2">
        <f t="shared" si="22"/>
        <v>2.9429075927015891</v>
      </c>
      <c r="K261" s="3">
        <f t="shared" si="23"/>
        <v>1.5938720785531244</v>
      </c>
    </row>
    <row r="262" spans="1:11" x14ac:dyDescent="0.25">
      <c r="A262" s="4" t="s">
        <v>263</v>
      </c>
      <c r="B262" s="4">
        <v>178</v>
      </c>
      <c r="C262">
        <f t="shared" si="18"/>
        <v>0.89</v>
      </c>
      <c r="D262">
        <f t="shared" si="19"/>
        <v>339.5</v>
      </c>
      <c r="E262">
        <v>66.5</v>
      </c>
      <c r="G262">
        <f t="shared" si="20"/>
        <v>339.5</v>
      </c>
      <c r="H262" s="2">
        <f t="shared" si="21"/>
        <v>2.2187323943661972</v>
      </c>
      <c r="J262" s="2">
        <f t="shared" si="22"/>
        <v>2.9455081001472756</v>
      </c>
      <c r="K262" s="3">
        <f t="shared" si="23"/>
        <v>1.5938720785531244</v>
      </c>
    </row>
    <row r="263" spans="1:11" x14ac:dyDescent="0.25">
      <c r="A263" s="4" t="s">
        <v>264</v>
      </c>
      <c r="B263" s="4">
        <v>179</v>
      </c>
      <c r="C263">
        <f t="shared" si="18"/>
        <v>0.89500000000000002</v>
      </c>
      <c r="D263">
        <f t="shared" si="19"/>
        <v>339.5</v>
      </c>
      <c r="E263">
        <v>66.5</v>
      </c>
      <c r="G263">
        <f t="shared" si="20"/>
        <v>339.5</v>
      </c>
      <c r="H263" s="2">
        <f t="shared" si="21"/>
        <v>2.2311971830985913</v>
      </c>
      <c r="J263" s="2">
        <f t="shared" si="22"/>
        <v>2.9455081001472756</v>
      </c>
      <c r="K263" s="3">
        <f t="shared" si="23"/>
        <v>1.605076589650464</v>
      </c>
    </row>
    <row r="264" spans="1:11" x14ac:dyDescent="0.25">
      <c r="A264" s="4" t="s">
        <v>265</v>
      </c>
      <c r="B264" s="4">
        <v>178</v>
      </c>
      <c r="C264">
        <f t="shared" si="18"/>
        <v>0.89</v>
      </c>
      <c r="D264">
        <f t="shared" si="19"/>
        <v>339.5</v>
      </c>
      <c r="E264">
        <v>66.5</v>
      </c>
      <c r="G264">
        <f t="shared" si="20"/>
        <v>339.5</v>
      </c>
      <c r="H264" s="2">
        <f t="shared" si="21"/>
        <v>2.2187323943661972</v>
      </c>
      <c r="J264" s="2">
        <f t="shared" si="22"/>
        <v>2.9455081001472756</v>
      </c>
      <c r="K264" s="3">
        <f t="shared" si="23"/>
        <v>1.5938720785531244</v>
      </c>
    </row>
    <row r="265" spans="1:11" x14ac:dyDescent="0.25">
      <c r="A265" s="4" t="s">
        <v>266</v>
      </c>
      <c r="B265" s="4">
        <v>177</v>
      </c>
      <c r="C265">
        <f t="shared" si="18"/>
        <v>0.88500000000000001</v>
      </c>
      <c r="D265">
        <f t="shared" si="19"/>
        <v>339.5</v>
      </c>
      <c r="E265">
        <v>66.5</v>
      </c>
      <c r="G265">
        <f t="shared" si="20"/>
        <v>339.5</v>
      </c>
      <c r="H265" s="2">
        <f t="shared" si="21"/>
        <v>2.2062676056338031</v>
      </c>
      <c r="J265" s="2">
        <f t="shared" si="22"/>
        <v>2.9455081001472756</v>
      </c>
      <c r="K265" s="3">
        <f t="shared" si="23"/>
        <v>1.5826044431166126</v>
      </c>
    </row>
    <row r="266" spans="1:11" x14ac:dyDescent="0.25">
      <c r="A266" s="4" t="s">
        <v>267</v>
      </c>
      <c r="B266" s="4">
        <v>177</v>
      </c>
      <c r="C266">
        <f t="shared" si="18"/>
        <v>0.88500000000000001</v>
      </c>
      <c r="D266">
        <f t="shared" si="19"/>
        <v>339.3</v>
      </c>
      <c r="E266">
        <v>66.3</v>
      </c>
      <c r="G266">
        <f t="shared" si="20"/>
        <v>339.3</v>
      </c>
      <c r="H266" s="2">
        <f t="shared" si="21"/>
        <v>2.2062676056338031</v>
      </c>
      <c r="J266" s="2">
        <f t="shared" si="22"/>
        <v>2.9472443265546713</v>
      </c>
      <c r="K266" s="3">
        <f t="shared" si="23"/>
        <v>1.5826044431166126</v>
      </c>
    </row>
    <row r="267" spans="1:11" x14ac:dyDescent="0.25">
      <c r="A267" s="4" t="s">
        <v>268</v>
      </c>
      <c r="B267" s="4">
        <v>178</v>
      </c>
      <c r="C267">
        <f t="shared" ref="C267:C330" si="24">B267/200</f>
        <v>0.89</v>
      </c>
      <c r="D267">
        <f t="shared" ref="D267:D330" si="25">273+E267</f>
        <v>339.3</v>
      </c>
      <c r="E267">
        <v>66.3</v>
      </c>
      <c r="G267">
        <f t="shared" ref="G267:G330" si="26">D267</f>
        <v>339.3</v>
      </c>
      <c r="H267" s="2">
        <f t="shared" ref="H267:H330" si="27">1.77*B267/142</f>
        <v>2.2187323943661972</v>
      </c>
      <c r="J267" s="2">
        <f t="shared" ref="J267:J330" si="28">1000/G267</f>
        <v>2.9472443265546713</v>
      </c>
      <c r="K267" s="3">
        <f t="shared" ref="K267:K330" si="29">LN(H267*H267)</f>
        <v>1.5938720785531244</v>
      </c>
    </row>
    <row r="268" spans="1:11" x14ac:dyDescent="0.25">
      <c r="A268" s="4" t="s">
        <v>269</v>
      </c>
      <c r="B268" s="4">
        <v>177</v>
      </c>
      <c r="C268">
        <f t="shared" si="24"/>
        <v>0.88500000000000001</v>
      </c>
      <c r="D268">
        <f t="shared" si="25"/>
        <v>339.3</v>
      </c>
      <c r="E268">
        <v>66.3</v>
      </c>
      <c r="G268">
        <f t="shared" si="26"/>
        <v>339.3</v>
      </c>
      <c r="H268" s="2">
        <f t="shared" si="27"/>
        <v>2.2062676056338031</v>
      </c>
      <c r="J268" s="2">
        <f t="shared" si="28"/>
        <v>2.9472443265546713</v>
      </c>
      <c r="K268" s="3">
        <f t="shared" si="29"/>
        <v>1.5826044431166126</v>
      </c>
    </row>
    <row r="269" spans="1:11" x14ac:dyDescent="0.25">
      <c r="A269" s="4" t="s">
        <v>270</v>
      </c>
      <c r="B269" s="4">
        <v>176</v>
      </c>
      <c r="C269">
        <f t="shared" si="24"/>
        <v>0.88</v>
      </c>
      <c r="D269">
        <f t="shared" si="25"/>
        <v>339</v>
      </c>
      <c r="E269">
        <v>66</v>
      </c>
      <c r="G269">
        <f t="shared" si="26"/>
        <v>339</v>
      </c>
      <c r="H269" s="2">
        <f t="shared" si="27"/>
        <v>2.1938028169014081</v>
      </c>
      <c r="J269" s="2">
        <f t="shared" si="28"/>
        <v>2.9498525073746311</v>
      </c>
      <c r="K269" s="3">
        <f t="shared" si="29"/>
        <v>1.5712729680452573</v>
      </c>
    </row>
    <row r="270" spans="1:11" x14ac:dyDescent="0.25">
      <c r="A270" s="4" t="s">
        <v>271</v>
      </c>
      <c r="B270" s="4">
        <v>176</v>
      </c>
      <c r="C270">
        <f t="shared" si="24"/>
        <v>0.88</v>
      </c>
      <c r="D270">
        <f t="shared" si="25"/>
        <v>339</v>
      </c>
      <c r="E270">
        <v>66</v>
      </c>
      <c r="G270">
        <f t="shared" si="26"/>
        <v>339</v>
      </c>
      <c r="H270" s="2">
        <f t="shared" si="27"/>
        <v>2.1938028169014081</v>
      </c>
      <c r="J270" s="2">
        <f t="shared" si="28"/>
        <v>2.9498525073746311</v>
      </c>
      <c r="K270" s="3">
        <f t="shared" si="29"/>
        <v>1.5712729680452573</v>
      </c>
    </row>
    <row r="271" spans="1:11" x14ac:dyDescent="0.25">
      <c r="A271" s="4" t="s">
        <v>272</v>
      </c>
      <c r="B271" s="4">
        <v>176</v>
      </c>
      <c r="C271">
        <f t="shared" si="24"/>
        <v>0.88</v>
      </c>
      <c r="D271">
        <f t="shared" si="25"/>
        <v>339</v>
      </c>
      <c r="E271">
        <v>66</v>
      </c>
      <c r="G271">
        <f t="shared" si="26"/>
        <v>339</v>
      </c>
      <c r="H271" s="2">
        <f t="shared" si="27"/>
        <v>2.1938028169014081</v>
      </c>
      <c r="J271" s="2">
        <f t="shared" si="28"/>
        <v>2.9498525073746311</v>
      </c>
      <c r="K271" s="3">
        <f t="shared" si="29"/>
        <v>1.5712729680452573</v>
      </c>
    </row>
    <row r="272" spans="1:11" x14ac:dyDescent="0.25">
      <c r="A272" s="4" t="s">
        <v>273</v>
      </c>
      <c r="B272" s="4">
        <v>175</v>
      </c>
      <c r="C272">
        <f t="shared" si="24"/>
        <v>0.875</v>
      </c>
      <c r="D272">
        <f t="shared" si="25"/>
        <v>338.9</v>
      </c>
      <c r="E272">
        <v>65.900000000000006</v>
      </c>
      <c r="G272">
        <f t="shared" si="26"/>
        <v>338.9</v>
      </c>
      <c r="H272" s="2">
        <f t="shared" si="27"/>
        <v>2.181338028169014</v>
      </c>
      <c r="J272" s="2">
        <f t="shared" si="28"/>
        <v>2.9507229271171438</v>
      </c>
      <c r="K272" s="3">
        <f t="shared" si="29"/>
        <v>1.5598769258159821</v>
      </c>
    </row>
    <row r="273" spans="1:11" x14ac:dyDescent="0.25">
      <c r="A273" s="4" t="s">
        <v>274</v>
      </c>
      <c r="B273" s="4">
        <v>175</v>
      </c>
      <c r="C273">
        <f t="shared" si="24"/>
        <v>0.875</v>
      </c>
      <c r="D273">
        <f t="shared" si="25"/>
        <v>338.9</v>
      </c>
      <c r="E273">
        <v>65.900000000000006</v>
      </c>
      <c r="G273">
        <f t="shared" si="26"/>
        <v>338.9</v>
      </c>
      <c r="H273" s="2">
        <f t="shared" si="27"/>
        <v>2.181338028169014</v>
      </c>
      <c r="J273" s="2">
        <f t="shared" si="28"/>
        <v>2.9507229271171438</v>
      </c>
      <c r="K273" s="3">
        <f t="shared" si="29"/>
        <v>1.5598769258159821</v>
      </c>
    </row>
    <row r="274" spans="1:11" x14ac:dyDescent="0.25">
      <c r="A274" s="4" t="s">
        <v>275</v>
      </c>
      <c r="B274" s="4">
        <v>176</v>
      </c>
      <c r="C274">
        <f t="shared" si="24"/>
        <v>0.88</v>
      </c>
      <c r="D274">
        <f t="shared" si="25"/>
        <v>338.9</v>
      </c>
      <c r="E274">
        <v>65.900000000000006</v>
      </c>
      <c r="G274">
        <f t="shared" si="26"/>
        <v>338.9</v>
      </c>
      <c r="H274" s="2">
        <f t="shared" si="27"/>
        <v>2.1938028169014081</v>
      </c>
      <c r="J274" s="2">
        <f t="shared" si="28"/>
        <v>2.9507229271171438</v>
      </c>
      <c r="K274" s="3">
        <f t="shared" si="29"/>
        <v>1.5712729680452573</v>
      </c>
    </row>
    <row r="275" spans="1:11" x14ac:dyDescent="0.25">
      <c r="A275" s="4" t="s">
        <v>276</v>
      </c>
      <c r="B275" s="4">
        <v>175</v>
      </c>
      <c r="C275">
        <f t="shared" si="24"/>
        <v>0.875</v>
      </c>
      <c r="D275">
        <f t="shared" si="25"/>
        <v>338.7</v>
      </c>
      <c r="E275">
        <v>65.7</v>
      </c>
      <c r="G275">
        <f t="shared" si="26"/>
        <v>338.7</v>
      </c>
      <c r="H275" s="2">
        <f t="shared" si="27"/>
        <v>2.181338028169014</v>
      </c>
      <c r="J275" s="2">
        <f t="shared" si="28"/>
        <v>2.9524653085326249</v>
      </c>
      <c r="K275" s="3">
        <f t="shared" si="29"/>
        <v>1.5598769258159821</v>
      </c>
    </row>
    <row r="276" spans="1:11" x14ac:dyDescent="0.25">
      <c r="A276" s="4" t="s">
        <v>277</v>
      </c>
      <c r="B276" s="4">
        <v>174</v>
      </c>
      <c r="C276">
        <f t="shared" si="24"/>
        <v>0.87</v>
      </c>
      <c r="D276">
        <f t="shared" si="25"/>
        <v>338.7</v>
      </c>
      <c r="E276">
        <v>65.7</v>
      </c>
      <c r="G276">
        <f t="shared" si="26"/>
        <v>338.7</v>
      </c>
      <c r="H276" s="2">
        <f t="shared" si="27"/>
        <v>2.1688732394366199</v>
      </c>
      <c r="J276" s="2">
        <f t="shared" si="28"/>
        <v>2.9524653085326249</v>
      </c>
      <c r="K276" s="3">
        <f t="shared" si="29"/>
        <v>1.5484155763980123</v>
      </c>
    </row>
    <row r="277" spans="1:11" x14ac:dyDescent="0.25">
      <c r="A277" s="4" t="s">
        <v>278</v>
      </c>
      <c r="B277" s="4">
        <v>175</v>
      </c>
      <c r="C277">
        <f t="shared" si="24"/>
        <v>0.875</v>
      </c>
      <c r="D277">
        <f t="shared" si="25"/>
        <v>338.7</v>
      </c>
      <c r="E277">
        <v>65.7</v>
      </c>
      <c r="G277">
        <f t="shared" si="26"/>
        <v>338.7</v>
      </c>
      <c r="H277" s="2">
        <f t="shared" si="27"/>
        <v>2.181338028169014</v>
      </c>
      <c r="J277" s="2">
        <f t="shared" si="28"/>
        <v>2.9524653085326249</v>
      </c>
      <c r="K277" s="3">
        <f t="shared" si="29"/>
        <v>1.5598769258159821</v>
      </c>
    </row>
    <row r="278" spans="1:11" x14ac:dyDescent="0.25">
      <c r="A278" s="4" t="s">
        <v>279</v>
      </c>
      <c r="B278" s="4">
        <v>175</v>
      </c>
      <c r="C278">
        <f t="shared" si="24"/>
        <v>0.875</v>
      </c>
      <c r="D278">
        <f t="shared" si="25"/>
        <v>338.4</v>
      </c>
      <c r="E278">
        <v>65.400000000000006</v>
      </c>
      <c r="G278">
        <f t="shared" si="26"/>
        <v>338.4</v>
      </c>
      <c r="H278" s="2">
        <f t="shared" si="27"/>
        <v>2.181338028169014</v>
      </c>
      <c r="J278" s="2">
        <f t="shared" si="28"/>
        <v>2.9550827423167849</v>
      </c>
      <c r="K278" s="3">
        <f t="shared" si="29"/>
        <v>1.5598769258159821</v>
      </c>
    </row>
    <row r="279" spans="1:11" x14ac:dyDescent="0.25">
      <c r="A279" s="4" t="s">
        <v>280</v>
      </c>
      <c r="B279" s="4">
        <v>174</v>
      </c>
      <c r="C279">
        <f t="shared" si="24"/>
        <v>0.87</v>
      </c>
      <c r="D279">
        <f t="shared" si="25"/>
        <v>338.4</v>
      </c>
      <c r="E279">
        <v>65.400000000000006</v>
      </c>
      <c r="G279">
        <f t="shared" si="26"/>
        <v>338.4</v>
      </c>
      <c r="H279" s="2">
        <f t="shared" si="27"/>
        <v>2.1688732394366199</v>
      </c>
      <c r="J279" s="2">
        <f t="shared" si="28"/>
        <v>2.9550827423167849</v>
      </c>
      <c r="K279" s="3">
        <f t="shared" si="29"/>
        <v>1.5484155763980123</v>
      </c>
    </row>
    <row r="280" spans="1:11" x14ac:dyDescent="0.25">
      <c r="A280" s="4" t="s">
        <v>281</v>
      </c>
      <c r="B280" s="4">
        <v>172</v>
      </c>
      <c r="C280">
        <f t="shared" si="24"/>
        <v>0.86</v>
      </c>
      <c r="D280">
        <f t="shared" si="25"/>
        <v>338.4</v>
      </c>
      <c r="E280">
        <v>65.400000000000006</v>
      </c>
      <c r="G280">
        <f t="shared" si="26"/>
        <v>338.4</v>
      </c>
      <c r="H280" s="2">
        <f t="shared" si="27"/>
        <v>2.1439436619718308</v>
      </c>
      <c r="J280" s="2">
        <f t="shared" si="28"/>
        <v>2.9550827423167849</v>
      </c>
      <c r="K280" s="3">
        <f t="shared" si="29"/>
        <v>1.52529393159586</v>
      </c>
    </row>
    <row r="281" spans="1:11" x14ac:dyDescent="0.25">
      <c r="A281" s="4" t="s">
        <v>282</v>
      </c>
      <c r="B281" s="4">
        <v>174</v>
      </c>
      <c r="C281">
        <f t="shared" si="24"/>
        <v>0.87</v>
      </c>
      <c r="D281">
        <f t="shared" si="25"/>
        <v>338.4</v>
      </c>
      <c r="E281">
        <v>65.400000000000006</v>
      </c>
      <c r="G281">
        <f t="shared" si="26"/>
        <v>338.4</v>
      </c>
      <c r="H281" s="2">
        <f t="shared" si="27"/>
        <v>2.1688732394366199</v>
      </c>
      <c r="J281" s="2">
        <f t="shared" si="28"/>
        <v>2.9550827423167849</v>
      </c>
      <c r="K281" s="3">
        <f t="shared" si="29"/>
        <v>1.5484155763980123</v>
      </c>
    </row>
    <row r="282" spans="1:11" x14ac:dyDescent="0.25">
      <c r="A282" s="4" t="s">
        <v>283</v>
      </c>
      <c r="B282" s="4">
        <v>173</v>
      </c>
      <c r="C282">
        <f t="shared" si="24"/>
        <v>0.86499999999999999</v>
      </c>
      <c r="D282">
        <f t="shared" si="25"/>
        <v>338.1</v>
      </c>
      <c r="E282">
        <v>65.099999999999994</v>
      </c>
      <c r="G282">
        <f t="shared" si="26"/>
        <v>338.1</v>
      </c>
      <c r="H282" s="2">
        <f t="shared" si="27"/>
        <v>2.1564084507042254</v>
      </c>
      <c r="J282" s="2">
        <f t="shared" si="28"/>
        <v>2.9577048210588583</v>
      </c>
      <c r="K282" s="3">
        <f t="shared" si="29"/>
        <v>1.536888166964512</v>
      </c>
    </row>
    <row r="283" spans="1:11" x14ac:dyDescent="0.25">
      <c r="A283" s="4" t="s">
        <v>284</v>
      </c>
      <c r="B283" s="4">
        <v>173</v>
      </c>
      <c r="C283">
        <f t="shared" si="24"/>
        <v>0.86499999999999999</v>
      </c>
      <c r="D283">
        <f t="shared" si="25"/>
        <v>338.1</v>
      </c>
      <c r="E283">
        <v>65.099999999999994</v>
      </c>
      <c r="G283">
        <f t="shared" si="26"/>
        <v>338.1</v>
      </c>
      <c r="H283" s="2">
        <f t="shared" si="27"/>
        <v>2.1564084507042254</v>
      </c>
      <c r="J283" s="2">
        <f t="shared" si="28"/>
        <v>2.9577048210588583</v>
      </c>
      <c r="K283" s="3">
        <f t="shared" si="29"/>
        <v>1.536888166964512</v>
      </c>
    </row>
    <row r="284" spans="1:11" x14ac:dyDescent="0.25">
      <c r="A284" s="4" t="s">
        <v>285</v>
      </c>
      <c r="B284" s="4">
        <v>173</v>
      </c>
      <c r="C284">
        <f t="shared" si="24"/>
        <v>0.86499999999999999</v>
      </c>
      <c r="D284">
        <f t="shared" si="25"/>
        <v>338.1</v>
      </c>
      <c r="E284">
        <v>65.099999999999994</v>
      </c>
      <c r="G284">
        <f t="shared" si="26"/>
        <v>338.1</v>
      </c>
      <c r="H284" s="2">
        <f t="shared" si="27"/>
        <v>2.1564084507042254</v>
      </c>
      <c r="J284" s="2">
        <f t="shared" si="28"/>
        <v>2.9577048210588583</v>
      </c>
      <c r="K284" s="3">
        <f t="shared" si="29"/>
        <v>1.536888166964512</v>
      </c>
    </row>
    <row r="285" spans="1:11" x14ac:dyDescent="0.25">
      <c r="A285" s="4" t="s">
        <v>286</v>
      </c>
      <c r="B285" s="4">
        <v>172</v>
      </c>
      <c r="C285">
        <f t="shared" si="24"/>
        <v>0.86</v>
      </c>
      <c r="D285">
        <f t="shared" si="25"/>
        <v>338</v>
      </c>
      <c r="E285">
        <v>65</v>
      </c>
      <c r="G285">
        <f t="shared" si="26"/>
        <v>338</v>
      </c>
      <c r="H285" s="2">
        <f t="shared" si="27"/>
        <v>2.1439436619718308</v>
      </c>
      <c r="J285" s="2">
        <f t="shared" si="28"/>
        <v>2.9585798816568047</v>
      </c>
      <c r="K285" s="3">
        <f t="shared" si="29"/>
        <v>1.52529393159586</v>
      </c>
    </row>
    <row r="286" spans="1:11" x14ac:dyDescent="0.25">
      <c r="A286" s="4" t="s">
        <v>287</v>
      </c>
      <c r="B286" s="4">
        <v>172</v>
      </c>
      <c r="C286">
        <f t="shared" si="24"/>
        <v>0.86</v>
      </c>
      <c r="D286">
        <f t="shared" si="25"/>
        <v>338</v>
      </c>
      <c r="E286">
        <v>65</v>
      </c>
      <c r="G286">
        <f t="shared" si="26"/>
        <v>338</v>
      </c>
      <c r="H286" s="2">
        <f t="shared" si="27"/>
        <v>2.1439436619718308</v>
      </c>
      <c r="J286" s="2">
        <f t="shared" si="28"/>
        <v>2.9585798816568047</v>
      </c>
      <c r="K286" s="3">
        <f t="shared" si="29"/>
        <v>1.52529393159586</v>
      </c>
    </row>
    <row r="287" spans="1:11" x14ac:dyDescent="0.25">
      <c r="A287" s="4" t="s">
        <v>288</v>
      </c>
      <c r="B287" s="4">
        <v>172</v>
      </c>
      <c r="C287">
        <f t="shared" si="24"/>
        <v>0.86</v>
      </c>
      <c r="D287">
        <f t="shared" si="25"/>
        <v>338</v>
      </c>
      <c r="E287">
        <v>65</v>
      </c>
      <c r="G287">
        <f t="shared" si="26"/>
        <v>338</v>
      </c>
      <c r="H287" s="2">
        <f t="shared" si="27"/>
        <v>2.1439436619718308</v>
      </c>
      <c r="J287" s="2">
        <f t="shared" si="28"/>
        <v>2.9585798816568047</v>
      </c>
      <c r="K287" s="3">
        <f t="shared" si="29"/>
        <v>1.52529393159586</v>
      </c>
    </row>
    <row r="288" spans="1:11" x14ac:dyDescent="0.25">
      <c r="A288" s="4" t="s">
        <v>289</v>
      </c>
      <c r="B288" s="4">
        <v>172</v>
      </c>
      <c r="C288">
        <f t="shared" si="24"/>
        <v>0.86</v>
      </c>
      <c r="D288">
        <f t="shared" si="25"/>
        <v>337.8</v>
      </c>
      <c r="E288">
        <v>64.8</v>
      </c>
      <c r="G288">
        <f t="shared" si="26"/>
        <v>337.8</v>
      </c>
      <c r="H288" s="2">
        <f t="shared" si="27"/>
        <v>2.1439436619718308</v>
      </c>
      <c r="J288" s="2">
        <f t="shared" si="28"/>
        <v>2.9603315571343991</v>
      </c>
      <c r="K288" s="3">
        <f t="shared" si="29"/>
        <v>1.52529393159586</v>
      </c>
    </row>
    <row r="289" spans="1:11" x14ac:dyDescent="0.25">
      <c r="A289" s="4" t="s">
        <v>290</v>
      </c>
      <c r="B289" s="4">
        <v>172</v>
      </c>
      <c r="C289">
        <f t="shared" si="24"/>
        <v>0.86</v>
      </c>
      <c r="D289">
        <f t="shared" si="25"/>
        <v>337.8</v>
      </c>
      <c r="E289">
        <v>64.8</v>
      </c>
      <c r="G289">
        <f t="shared" si="26"/>
        <v>337.8</v>
      </c>
      <c r="H289" s="2">
        <f t="shared" si="27"/>
        <v>2.1439436619718308</v>
      </c>
      <c r="J289" s="2">
        <f t="shared" si="28"/>
        <v>2.9603315571343991</v>
      </c>
      <c r="K289" s="3">
        <f t="shared" si="29"/>
        <v>1.52529393159586</v>
      </c>
    </row>
    <row r="290" spans="1:11" x14ac:dyDescent="0.25">
      <c r="A290" s="4" t="s">
        <v>291</v>
      </c>
      <c r="B290" s="4">
        <v>171</v>
      </c>
      <c r="C290">
        <f t="shared" si="24"/>
        <v>0.85499999999999998</v>
      </c>
      <c r="D290">
        <f t="shared" si="25"/>
        <v>337.8</v>
      </c>
      <c r="E290">
        <v>64.8</v>
      </c>
      <c r="G290">
        <f t="shared" si="26"/>
        <v>337.8</v>
      </c>
      <c r="H290" s="2">
        <f t="shared" si="27"/>
        <v>2.1314788732394367</v>
      </c>
      <c r="J290" s="2">
        <f t="shared" si="28"/>
        <v>2.9603315571343991</v>
      </c>
      <c r="K290" s="3">
        <f t="shared" si="29"/>
        <v>1.5136320909742738</v>
      </c>
    </row>
    <row r="291" spans="1:11" x14ac:dyDescent="0.25">
      <c r="A291" s="4" t="s">
        <v>292</v>
      </c>
      <c r="B291" s="4">
        <v>171</v>
      </c>
      <c r="C291">
        <f t="shared" si="24"/>
        <v>0.85499999999999998</v>
      </c>
      <c r="D291">
        <f t="shared" si="25"/>
        <v>337.2</v>
      </c>
      <c r="E291">
        <v>64.2</v>
      </c>
      <c r="G291">
        <f t="shared" si="26"/>
        <v>337.2</v>
      </c>
      <c r="H291" s="2">
        <f t="shared" si="27"/>
        <v>2.1314788732394367</v>
      </c>
      <c r="J291" s="2">
        <f t="shared" si="28"/>
        <v>2.9655990510083039</v>
      </c>
      <c r="K291" s="3">
        <f t="shared" si="29"/>
        <v>1.5136320909742738</v>
      </c>
    </row>
    <row r="292" spans="1:11" x14ac:dyDescent="0.25">
      <c r="A292" s="4" t="s">
        <v>293</v>
      </c>
      <c r="B292" s="4">
        <v>171</v>
      </c>
      <c r="C292">
        <f t="shared" si="24"/>
        <v>0.85499999999999998</v>
      </c>
      <c r="D292">
        <f t="shared" si="25"/>
        <v>337.2</v>
      </c>
      <c r="E292">
        <v>64.2</v>
      </c>
      <c r="G292">
        <f t="shared" si="26"/>
        <v>337.2</v>
      </c>
      <c r="H292" s="2">
        <f t="shared" si="27"/>
        <v>2.1314788732394367</v>
      </c>
      <c r="J292" s="2">
        <f t="shared" si="28"/>
        <v>2.9655990510083039</v>
      </c>
      <c r="K292" s="3">
        <f t="shared" si="29"/>
        <v>1.5136320909742738</v>
      </c>
    </row>
    <row r="293" spans="1:11" x14ac:dyDescent="0.25">
      <c r="A293" s="4" t="s">
        <v>294</v>
      </c>
      <c r="B293" s="4">
        <v>171</v>
      </c>
      <c r="C293">
        <f t="shared" si="24"/>
        <v>0.85499999999999998</v>
      </c>
      <c r="D293">
        <f t="shared" si="25"/>
        <v>337.2</v>
      </c>
      <c r="E293">
        <v>64.2</v>
      </c>
      <c r="G293">
        <f t="shared" si="26"/>
        <v>337.2</v>
      </c>
      <c r="H293" s="2">
        <f t="shared" si="27"/>
        <v>2.1314788732394367</v>
      </c>
      <c r="J293" s="2">
        <f t="shared" si="28"/>
        <v>2.9655990510083039</v>
      </c>
      <c r="K293" s="3">
        <f t="shared" si="29"/>
        <v>1.5136320909742738</v>
      </c>
    </row>
    <row r="294" spans="1:11" x14ac:dyDescent="0.25">
      <c r="A294" s="4" t="s">
        <v>295</v>
      </c>
      <c r="B294" s="4">
        <v>170</v>
      </c>
      <c r="C294">
        <f t="shared" si="24"/>
        <v>0.85</v>
      </c>
      <c r="D294">
        <f t="shared" si="25"/>
        <v>336.9</v>
      </c>
      <c r="E294">
        <v>63.9</v>
      </c>
      <c r="G294">
        <f t="shared" si="26"/>
        <v>336.9</v>
      </c>
      <c r="H294" s="2">
        <f t="shared" si="27"/>
        <v>2.1190140845070422</v>
      </c>
      <c r="J294" s="2">
        <f t="shared" si="28"/>
        <v>2.9682398337785694</v>
      </c>
      <c r="K294" s="3">
        <f t="shared" si="29"/>
        <v>1.5019018520694776</v>
      </c>
    </row>
    <row r="295" spans="1:11" x14ac:dyDescent="0.25">
      <c r="A295" s="4" t="s">
        <v>296</v>
      </c>
      <c r="B295" s="4">
        <v>171</v>
      </c>
      <c r="C295">
        <f t="shared" si="24"/>
        <v>0.85499999999999998</v>
      </c>
      <c r="D295">
        <f t="shared" si="25"/>
        <v>336.9</v>
      </c>
      <c r="E295">
        <v>63.9</v>
      </c>
      <c r="G295">
        <f t="shared" si="26"/>
        <v>336.9</v>
      </c>
      <c r="H295" s="2">
        <f t="shared" si="27"/>
        <v>2.1314788732394367</v>
      </c>
      <c r="J295" s="2">
        <f t="shared" si="28"/>
        <v>2.9682398337785694</v>
      </c>
      <c r="K295" s="3">
        <f t="shared" si="29"/>
        <v>1.5136320909742738</v>
      </c>
    </row>
    <row r="296" spans="1:11" x14ac:dyDescent="0.25">
      <c r="A296" s="4" t="s">
        <v>297</v>
      </c>
      <c r="B296" s="4">
        <v>169</v>
      </c>
      <c r="C296">
        <f t="shared" si="24"/>
        <v>0.84499999999999997</v>
      </c>
      <c r="D296">
        <f t="shared" si="25"/>
        <v>336.9</v>
      </c>
      <c r="E296">
        <v>63.9</v>
      </c>
      <c r="G296">
        <f t="shared" si="26"/>
        <v>336.9</v>
      </c>
      <c r="H296" s="2">
        <f t="shared" si="27"/>
        <v>2.1065492957746477</v>
      </c>
      <c r="J296" s="2">
        <f t="shared" si="28"/>
        <v>2.9682398337785694</v>
      </c>
      <c r="K296" s="3">
        <f t="shared" si="29"/>
        <v>1.4901024078151008</v>
      </c>
    </row>
    <row r="297" spans="1:11" x14ac:dyDescent="0.25">
      <c r="A297" s="4" t="s">
        <v>298</v>
      </c>
      <c r="B297" s="4">
        <v>171</v>
      </c>
      <c r="C297">
        <f t="shared" si="24"/>
        <v>0.85499999999999998</v>
      </c>
      <c r="D297">
        <f t="shared" si="25"/>
        <v>336.9</v>
      </c>
      <c r="E297">
        <v>63.9</v>
      </c>
      <c r="G297">
        <f t="shared" si="26"/>
        <v>336.9</v>
      </c>
      <c r="H297" s="2">
        <f t="shared" si="27"/>
        <v>2.1314788732394367</v>
      </c>
      <c r="J297" s="2">
        <f t="shared" si="28"/>
        <v>2.9682398337785694</v>
      </c>
      <c r="K297" s="3">
        <f t="shared" si="29"/>
        <v>1.5136320909742738</v>
      </c>
    </row>
    <row r="298" spans="1:11" x14ac:dyDescent="0.25">
      <c r="A298" s="4" t="s">
        <v>299</v>
      </c>
      <c r="B298" s="4">
        <v>169</v>
      </c>
      <c r="C298">
        <f t="shared" si="24"/>
        <v>0.84499999999999997</v>
      </c>
      <c r="D298">
        <f t="shared" si="25"/>
        <v>336.7</v>
      </c>
      <c r="E298">
        <v>63.7</v>
      </c>
      <c r="G298">
        <f t="shared" si="26"/>
        <v>336.7</v>
      </c>
      <c r="H298" s="2">
        <f t="shared" si="27"/>
        <v>2.1065492957746477</v>
      </c>
      <c r="J298" s="2">
        <f t="shared" si="28"/>
        <v>2.97000297000297</v>
      </c>
      <c r="K298" s="3">
        <f t="shared" si="29"/>
        <v>1.4901024078151008</v>
      </c>
    </row>
    <row r="299" spans="1:11" x14ac:dyDescent="0.25">
      <c r="A299" s="4" t="s">
        <v>300</v>
      </c>
      <c r="B299" s="4">
        <v>169</v>
      </c>
      <c r="C299">
        <f t="shared" si="24"/>
        <v>0.84499999999999997</v>
      </c>
      <c r="D299">
        <f t="shared" si="25"/>
        <v>336.7</v>
      </c>
      <c r="E299">
        <v>63.7</v>
      </c>
      <c r="G299">
        <f t="shared" si="26"/>
        <v>336.7</v>
      </c>
      <c r="H299" s="2">
        <f t="shared" si="27"/>
        <v>2.1065492957746477</v>
      </c>
      <c r="J299" s="2">
        <f t="shared" si="28"/>
        <v>2.97000297000297</v>
      </c>
      <c r="K299" s="3">
        <f t="shared" si="29"/>
        <v>1.4901024078151008</v>
      </c>
    </row>
    <row r="300" spans="1:11" x14ac:dyDescent="0.25">
      <c r="A300" s="4" t="s">
        <v>301</v>
      </c>
      <c r="B300" s="4">
        <v>170</v>
      </c>
      <c r="C300">
        <f t="shared" si="24"/>
        <v>0.85</v>
      </c>
      <c r="D300">
        <f t="shared" si="25"/>
        <v>336.7</v>
      </c>
      <c r="E300">
        <v>63.7</v>
      </c>
      <c r="G300">
        <f t="shared" si="26"/>
        <v>336.7</v>
      </c>
      <c r="H300" s="2">
        <f t="shared" si="27"/>
        <v>2.1190140845070422</v>
      </c>
      <c r="J300" s="2">
        <f t="shared" si="28"/>
        <v>2.97000297000297</v>
      </c>
      <c r="K300" s="3">
        <f t="shared" si="29"/>
        <v>1.5019018520694776</v>
      </c>
    </row>
    <row r="301" spans="1:11" x14ac:dyDescent="0.25">
      <c r="A301" s="4" t="s">
        <v>302</v>
      </c>
      <c r="B301" s="4">
        <v>170</v>
      </c>
      <c r="C301">
        <f t="shared" si="24"/>
        <v>0.85</v>
      </c>
      <c r="D301">
        <f t="shared" si="25"/>
        <v>336.3</v>
      </c>
      <c r="E301">
        <v>63.3</v>
      </c>
      <c r="G301">
        <f t="shared" si="26"/>
        <v>336.3</v>
      </c>
      <c r="H301" s="2">
        <f t="shared" si="27"/>
        <v>2.1190140845070422</v>
      </c>
      <c r="J301" s="2">
        <f t="shared" si="28"/>
        <v>2.9735355337496281</v>
      </c>
      <c r="K301" s="3">
        <f t="shared" si="29"/>
        <v>1.5019018520694776</v>
      </c>
    </row>
    <row r="302" spans="1:11" x14ac:dyDescent="0.25">
      <c r="A302" s="4" t="s">
        <v>303</v>
      </c>
      <c r="B302" s="4">
        <v>167</v>
      </c>
      <c r="C302">
        <f t="shared" si="24"/>
        <v>0.83499999999999996</v>
      </c>
      <c r="D302">
        <f t="shared" si="25"/>
        <v>336.3</v>
      </c>
      <c r="E302">
        <v>63.3</v>
      </c>
      <c r="G302">
        <f t="shared" si="26"/>
        <v>336.3</v>
      </c>
      <c r="H302" s="2">
        <f t="shared" si="27"/>
        <v>2.081619718309859</v>
      </c>
      <c r="J302" s="2">
        <f t="shared" si="28"/>
        <v>2.9735355337496281</v>
      </c>
      <c r="K302" s="3">
        <f t="shared" si="29"/>
        <v>1.4662926028024643</v>
      </c>
    </row>
    <row r="303" spans="1:11" x14ac:dyDescent="0.25">
      <c r="A303" s="4" t="s">
        <v>304</v>
      </c>
      <c r="B303" s="4">
        <v>168</v>
      </c>
      <c r="C303">
        <f t="shared" si="24"/>
        <v>0.84</v>
      </c>
      <c r="D303">
        <f t="shared" si="25"/>
        <v>336.3</v>
      </c>
      <c r="E303">
        <v>63.3</v>
      </c>
      <c r="G303">
        <f t="shared" si="26"/>
        <v>336.3</v>
      </c>
      <c r="H303" s="2">
        <f t="shared" si="27"/>
        <v>2.0940845070422536</v>
      </c>
      <c r="J303" s="2">
        <f t="shared" si="28"/>
        <v>2.9735355337496281</v>
      </c>
      <c r="K303" s="3">
        <f t="shared" si="29"/>
        <v>1.4782329367754719</v>
      </c>
    </row>
    <row r="304" spans="1:11" x14ac:dyDescent="0.25">
      <c r="A304" s="4" t="s">
        <v>305</v>
      </c>
      <c r="B304" s="4">
        <v>168</v>
      </c>
      <c r="C304">
        <f t="shared" si="24"/>
        <v>0.84</v>
      </c>
      <c r="D304">
        <f t="shared" si="25"/>
        <v>336</v>
      </c>
      <c r="E304">
        <v>63</v>
      </c>
      <c r="G304">
        <f t="shared" si="26"/>
        <v>336</v>
      </c>
      <c r="H304" s="2">
        <f t="shared" si="27"/>
        <v>2.0940845070422536</v>
      </c>
      <c r="J304" s="2">
        <f t="shared" si="28"/>
        <v>2.9761904761904763</v>
      </c>
      <c r="K304" s="3">
        <f t="shared" si="29"/>
        <v>1.4782329367754719</v>
      </c>
    </row>
    <row r="305" spans="1:11" x14ac:dyDescent="0.25">
      <c r="A305" s="4" t="s">
        <v>306</v>
      </c>
      <c r="B305" s="4">
        <v>168</v>
      </c>
      <c r="C305">
        <f t="shared" si="24"/>
        <v>0.84</v>
      </c>
      <c r="D305">
        <f t="shared" si="25"/>
        <v>336</v>
      </c>
      <c r="E305">
        <v>63</v>
      </c>
      <c r="G305">
        <f t="shared" si="26"/>
        <v>336</v>
      </c>
      <c r="H305" s="2">
        <f t="shared" si="27"/>
        <v>2.0940845070422536</v>
      </c>
      <c r="J305" s="2">
        <f t="shared" si="28"/>
        <v>2.9761904761904763</v>
      </c>
      <c r="K305" s="3">
        <f t="shared" si="29"/>
        <v>1.4782329367754719</v>
      </c>
    </row>
    <row r="306" spans="1:11" x14ac:dyDescent="0.25">
      <c r="A306" s="4" t="s">
        <v>307</v>
      </c>
      <c r="B306" s="4">
        <v>167</v>
      </c>
      <c r="C306">
        <f t="shared" si="24"/>
        <v>0.83499999999999996</v>
      </c>
      <c r="D306">
        <f t="shared" si="25"/>
        <v>336</v>
      </c>
      <c r="E306">
        <v>63</v>
      </c>
      <c r="G306">
        <f t="shared" si="26"/>
        <v>336</v>
      </c>
      <c r="H306" s="2">
        <f t="shared" si="27"/>
        <v>2.081619718309859</v>
      </c>
      <c r="J306" s="2">
        <f t="shared" si="28"/>
        <v>2.9761904761904763</v>
      </c>
      <c r="K306" s="3">
        <f t="shared" si="29"/>
        <v>1.4662926028024643</v>
      </c>
    </row>
    <row r="307" spans="1:11" x14ac:dyDescent="0.25">
      <c r="A307" s="4" t="s">
        <v>308</v>
      </c>
      <c r="B307" s="4">
        <v>167</v>
      </c>
      <c r="C307">
        <f t="shared" si="24"/>
        <v>0.83499999999999996</v>
      </c>
      <c r="D307">
        <f t="shared" si="25"/>
        <v>336</v>
      </c>
      <c r="E307">
        <v>63</v>
      </c>
      <c r="G307">
        <f t="shared" si="26"/>
        <v>336</v>
      </c>
      <c r="H307" s="2">
        <f t="shared" si="27"/>
        <v>2.081619718309859</v>
      </c>
      <c r="J307" s="2">
        <f t="shared" si="28"/>
        <v>2.9761904761904763</v>
      </c>
      <c r="K307" s="3">
        <f t="shared" si="29"/>
        <v>1.4662926028024643</v>
      </c>
    </row>
    <row r="308" spans="1:11" x14ac:dyDescent="0.25">
      <c r="A308" s="4" t="s">
        <v>309</v>
      </c>
      <c r="B308" s="4">
        <v>167</v>
      </c>
      <c r="C308">
        <f t="shared" si="24"/>
        <v>0.83499999999999996</v>
      </c>
      <c r="D308">
        <f t="shared" si="25"/>
        <v>336</v>
      </c>
      <c r="E308">
        <v>63</v>
      </c>
      <c r="G308">
        <f t="shared" si="26"/>
        <v>336</v>
      </c>
      <c r="H308" s="2">
        <f t="shared" si="27"/>
        <v>2.081619718309859</v>
      </c>
      <c r="J308" s="2">
        <f t="shared" si="28"/>
        <v>2.9761904761904763</v>
      </c>
      <c r="K308" s="3">
        <f t="shared" si="29"/>
        <v>1.4662926028024643</v>
      </c>
    </row>
    <row r="309" spans="1:11" x14ac:dyDescent="0.25">
      <c r="A309" s="4" t="s">
        <v>310</v>
      </c>
      <c r="B309" s="4">
        <v>166</v>
      </c>
      <c r="C309">
        <f t="shared" si="24"/>
        <v>0.83</v>
      </c>
      <c r="D309">
        <f t="shared" si="25"/>
        <v>336</v>
      </c>
      <c r="E309">
        <v>63</v>
      </c>
      <c r="G309">
        <f t="shared" si="26"/>
        <v>336</v>
      </c>
      <c r="H309" s="2">
        <f t="shared" si="27"/>
        <v>2.0691549295774649</v>
      </c>
      <c r="J309" s="2">
        <f t="shared" si="28"/>
        <v>2.9761904761904763</v>
      </c>
      <c r="K309" s="3">
        <f t="shared" si="29"/>
        <v>1.4542805546820405</v>
      </c>
    </row>
    <row r="310" spans="1:11" x14ac:dyDescent="0.25">
      <c r="A310" s="4" t="s">
        <v>311</v>
      </c>
      <c r="B310" s="4">
        <v>166</v>
      </c>
      <c r="C310">
        <f t="shared" si="24"/>
        <v>0.83</v>
      </c>
      <c r="D310">
        <f t="shared" si="25"/>
        <v>336</v>
      </c>
      <c r="E310">
        <v>63</v>
      </c>
      <c r="G310">
        <f t="shared" si="26"/>
        <v>336</v>
      </c>
      <c r="H310" s="2">
        <f t="shared" si="27"/>
        <v>2.0691549295774649</v>
      </c>
      <c r="J310" s="2">
        <f t="shared" si="28"/>
        <v>2.9761904761904763</v>
      </c>
      <c r="K310" s="3">
        <f t="shared" si="29"/>
        <v>1.4542805546820405</v>
      </c>
    </row>
    <row r="311" spans="1:11" x14ac:dyDescent="0.25">
      <c r="A311" s="4" t="s">
        <v>312</v>
      </c>
      <c r="B311" s="4">
        <v>166</v>
      </c>
      <c r="C311">
        <f t="shared" si="24"/>
        <v>0.83</v>
      </c>
      <c r="D311">
        <f t="shared" si="25"/>
        <v>336</v>
      </c>
      <c r="E311">
        <v>63</v>
      </c>
      <c r="G311">
        <f t="shared" si="26"/>
        <v>336</v>
      </c>
      <c r="H311" s="2">
        <f t="shared" si="27"/>
        <v>2.0691549295774649</v>
      </c>
      <c r="J311" s="2">
        <f t="shared" si="28"/>
        <v>2.9761904761904763</v>
      </c>
      <c r="K311" s="3">
        <f t="shared" si="29"/>
        <v>1.4542805546820405</v>
      </c>
    </row>
    <row r="312" spans="1:11" x14ac:dyDescent="0.25">
      <c r="A312" s="4" t="s">
        <v>313</v>
      </c>
      <c r="B312" s="4">
        <v>166</v>
      </c>
      <c r="C312">
        <f t="shared" si="24"/>
        <v>0.83</v>
      </c>
      <c r="D312">
        <f t="shared" si="25"/>
        <v>336</v>
      </c>
      <c r="E312">
        <v>63</v>
      </c>
      <c r="G312">
        <f t="shared" si="26"/>
        <v>336</v>
      </c>
      <c r="H312" s="2">
        <f t="shared" si="27"/>
        <v>2.0691549295774649</v>
      </c>
      <c r="J312" s="2">
        <f t="shared" si="28"/>
        <v>2.9761904761904763</v>
      </c>
      <c r="K312" s="3">
        <f t="shared" si="29"/>
        <v>1.4542805546820405</v>
      </c>
    </row>
    <row r="313" spans="1:11" x14ac:dyDescent="0.25">
      <c r="A313" s="4" t="s">
        <v>314</v>
      </c>
      <c r="B313" s="4">
        <v>165</v>
      </c>
      <c r="C313">
        <f t="shared" si="24"/>
        <v>0.82499999999999996</v>
      </c>
      <c r="D313">
        <f t="shared" si="25"/>
        <v>336</v>
      </c>
      <c r="E313">
        <v>63</v>
      </c>
      <c r="G313">
        <f t="shared" si="26"/>
        <v>336</v>
      </c>
      <c r="H313" s="2">
        <f t="shared" si="27"/>
        <v>2.0566901408450704</v>
      </c>
      <c r="J313" s="2">
        <f t="shared" si="28"/>
        <v>2.9761904761904763</v>
      </c>
      <c r="K313" s="3">
        <f t="shared" si="29"/>
        <v>1.4421959257701154</v>
      </c>
    </row>
    <row r="314" spans="1:11" x14ac:dyDescent="0.25">
      <c r="A314" s="4" t="s">
        <v>315</v>
      </c>
      <c r="B314" s="4">
        <v>166</v>
      </c>
      <c r="C314">
        <f t="shared" si="24"/>
        <v>0.83</v>
      </c>
      <c r="D314">
        <f t="shared" si="25"/>
        <v>335.9</v>
      </c>
      <c r="E314">
        <v>62.9</v>
      </c>
      <c r="G314">
        <f t="shared" si="26"/>
        <v>335.9</v>
      </c>
      <c r="H314" s="2">
        <f t="shared" si="27"/>
        <v>2.0691549295774649</v>
      </c>
      <c r="J314" s="2">
        <f t="shared" si="28"/>
        <v>2.9770765108663295</v>
      </c>
      <c r="K314" s="3">
        <f t="shared" si="29"/>
        <v>1.4542805546820405</v>
      </c>
    </row>
    <row r="315" spans="1:11" x14ac:dyDescent="0.25">
      <c r="A315" s="4" t="s">
        <v>316</v>
      </c>
      <c r="B315" s="4">
        <v>166</v>
      </c>
      <c r="C315">
        <f t="shared" si="24"/>
        <v>0.83</v>
      </c>
      <c r="D315">
        <f t="shared" si="25"/>
        <v>335.9</v>
      </c>
      <c r="E315">
        <v>62.9</v>
      </c>
      <c r="G315">
        <f t="shared" si="26"/>
        <v>335.9</v>
      </c>
      <c r="H315" s="2">
        <f t="shared" si="27"/>
        <v>2.0691549295774649</v>
      </c>
      <c r="J315" s="2">
        <f t="shared" si="28"/>
        <v>2.9770765108663295</v>
      </c>
      <c r="K315" s="3">
        <f t="shared" si="29"/>
        <v>1.4542805546820405</v>
      </c>
    </row>
    <row r="316" spans="1:11" x14ac:dyDescent="0.25">
      <c r="A316" s="4" t="s">
        <v>317</v>
      </c>
      <c r="B316" s="4">
        <v>165</v>
      </c>
      <c r="C316">
        <f t="shared" si="24"/>
        <v>0.82499999999999996</v>
      </c>
      <c r="D316">
        <f t="shared" si="25"/>
        <v>335.9</v>
      </c>
      <c r="E316">
        <v>62.9</v>
      </c>
      <c r="G316">
        <f t="shared" si="26"/>
        <v>335.9</v>
      </c>
      <c r="H316" s="2">
        <f t="shared" si="27"/>
        <v>2.0566901408450704</v>
      </c>
      <c r="J316" s="2">
        <f t="shared" si="28"/>
        <v>2.9770765108663295</v>
      </c>
      <c r="K316" s="3">
        <f t="shared" si="29"/>
        <v>1.4421959257701154</v>
      </c>
    </row>
    <row r="317" spans="1:11" x14ac:dyDescent="0.25">
      <c r="A317" s="4" t="s">
        <v>318</v>
      </c>
      <c r="B317" s="4">
        <v>165</v>
      </c>
      <c r="C317">
        <f t="shared" si="24"/>
        <v>0.82499999999999996</v>
      </c>
      <c r="D317">
        <f t="shared" si="25"/>
        <v>335.8</v>
      </c>
      <c r="E317">
        <v>62.8</v>
      </c>
      <c r="G317">
        <f t="shared" si="26"/>
        <v>335.8</v>
      </c>
      <c r="H317" s="2">
        <f t="shared" si="27"/>
        <v>2.0566901408450704</v>
      </c>
      <c r="J317" s="2">
        <f t="shared" si="28"/>
        <v>2.9779630732578917</v>
      </c>
      <c r="K317" s="3">
        <f t="shared" si="29"/>
        <v>1.4421959257701154</v>
      </c>
    </row>
    <row r="318" spans="1:11" x14ac:dyDescent="0.25">
      <c r="A318" s="4" t="s">
        <v>319</v>
      </c>
      <c r="B318" s="4">
        <v>165</v>
      </c>
      <c r="C318">
        <f t="shared" si="24"/>
        <v>0.82499999999999996</v>
      </c>
      <c r="D318">
        <f t="shared" si="25"/>
        <v>335.8</v>
      </c>
      <c r="E318">
        <v>62.8</v>
      </c>
      <c r="G318">
        <f t="shared" si="26"/>
        <v>335.8</v>
      </c>
      <c r="H318" s="2">
        <f t="shared" si="27"/>
        <v>2.0566901408450704</v>
      </c>
      <c r="J318" s="2">
        <f t="shared" si="28"/>
        <v>2.9779630732578917</v>
      </c>
      <c r="K318" s="3">
        <f t="shared" si="29"/>
        <v>1.4421959257701154</v>
      </c>
    </row>
    <row r="319" spans="1:11" x14ac:dyDescent="0.25">
      <c r="A319" s="4" t="s">
        <v>320</v>
      </c>
      <c r="B319" s="4">
        <v>165</v>
      </c>
      <c r="C319">
        <f t="shared" si="24"/>
        <v>0.82499999999999996</v>
      </c>
      <c r="D319">
        <f t="shared" si="25"/>
        <v>335.8</v>
      </c>
      <c r="E319">
        <v>62.8</v>
      </c>
      <c r="G319">
        <f t="shared" si="26"/>
        <v>335.8</v>
      </c>
      <c r="H319" s="2">
        <f t="shared" si="27"/>
        <v>2.0566901408450704</v>
      </c>
      <c r="J319" s="2">
        <f t="shared" si="28"/>
        <v>2.9779630732578917</v>
      </c>
      <c r="K319" s="3">
        <f t="shared" si="29"/>
        <v>1.4421959257701154</v>
      </c>
    </row>
    <row r="320" spans="1:11" x14ac:dyDescent="0.25">
      <c r="A320" s="4" t="s">
        <v>321</v>
      </c>
      <c r="B320" s="4">
        <v>164</v>
      </c>
      <c r="C320">
        <f t="shared" si="24"/>
        <v>0.82</v>
      </c>
      <c r="D320">
        <f t="shared" si="25"/>
        <v>335.7</v>
      </c>
      <c r="E320">
        <v>62.7</v>
      </c>
      <c r="G320">
        <f t="shared" si="26"/>
        <v>335.7</v>
      </c>
      <c r="H320" s="2">
        <f t="shared" si="27"/>
        <v>2.0442253521126763</v>
      </c>
      <c r="J320" s="2">
        <f t="shared" si="28"/>
        <v>2.9788501638367593</v>
      </c>
      <c r="K320" s="3">
        <f t="shared" si="29"/>
        <v>1.4300378336173512</v>
      </c>
    </row>
    <row r="321" spans="1:11" x14ac:dyDescent="0.25">
      <c r="A321" s="4" t="s">
        <v>322</v>
      </c>
      <c r="B321" s="4">
        <v>165</v>
      </c>
      <c r="C321">
        <f t="shared" si="24"/>
        <v>0.82499999999999996</v>
      </c>
      <c r="D321">
        <f t="shared" si="25"/>
        <v>335.7</v>
      </c>
      <c r="E321">
        <v>62.7</v>
      </c>
      <c r="G321">
        <f t="shared" si="26"/>
        <v>335.7</v>
      </c>
      <c r="H321" s="2">
        <f t="shared" si="27"/>
        <v>2.0566901408450704</v>
      </c>
      <c r="J321" s="2">
        <f t="shared" si="28"/>
        <v>2.9788501638367593</v>
      </c>
      <c r="K321" s="3">
        <f t="shared" si="29"/>
        <v>1.4421959257701154</v>
      </c>
    </row>
    <row r="322" spans="1:11" x14ac:dyDescent="0.25">
      <c r="A322" s="4" t="s">
        <v>323</v>
      </c>
      <c r="B322" s="4">
        <v>164</v>
      </c>
      <c r="C322">
        <f t="shared" si="24"/>
        <v>0.82</v>
      </c>
      <c r="D322">
        <f t="shared" si="25"/>
        <v>335.7</v>
      </c>
      <c r="E322">
        <v>62.7</v>
      </c>
      <c r="G322">
        <f t="shared" si="26"/>
        <v>335.7</v>
      </c>
      <c r="H322" s="2">
        <f t="shared" si="27"/>
        <v>2.0442253521126763</v>
      </c>
      <c r="J322" s="2">
        <f t="shared" si="28"/>
        <v>2.9788501638367593</v>
      </c>
      <c r="K322" s="3">
        <f t="shared" si="29"/>
        <v>1.4300378336173512</v>
      </c>
    </row>
    <row r="323" spans="1:11" x14ac:dyDescent="0.25">
      <c r="A323" s="4" t="s">
        <v>324</v>
      </c>
      <c r="B323" s="4">
        <v>164</v>
      </c>
      <c r="C323">
        <f t="shared" si="24"/>
        <v>0.82</v>
      </c>
      <c r="D323">
        <f t="shared" si="25"/>
        <v>335.2</v>
      </c>
      <c r="E323">
        <v>62.2</v>
      </c>
      <c r="G323">
        <f t="shared" si="26"/>
        <v>335.2</v>
      </c>
      <c r="H323" s="2">
        <f t="shared" si="27"/>
        <v>2.0442253521126763</v>
      </c>
      <c r="J323" s="2">
        <f t="shared" si="28"/>
        <v>2.9832935560859188</v>
      </c>
      <c r="K323" s="3">
        <f t="shared" si="29"/>
        <v>1.4300378336173512</v>
      </c>
    </row>
    <row r="324" spans="1:11" x14ac:dyDescent="0.25">
      <c r="A324" s="4" t="s">
        <v>325</v>
      </c>
      <c r="B324" s="4">
        <v>163</v>
      </c>
      <c r="C324">
        <f t="shared" si="24"/>
        <v>0.81499999999999995</v>
      </c>
      <c r="D324">
        <f t="shared" si="25"/>
        <v>335.2</v>
      </c>
      <c r="E324">
        <v>62.2</v>
      </c>
      <c r="G324">
        <f t="shared" si="26"/>
        <v>335.2</v>
      </c>
      <c r="H324" s="2">
        <f t="shared" si="27"/>
        <v>2.0317605633802818</v>
      </c>
      <c r="J324" s="2">
        <f t="shared" si="28"/>
        <v>2.9832935560859188</v>
      </c>
      <c r="K324" s="3">
        <f t="shared" si="29"/>
        <v>1.417805379582479</v>
      </c>
    </row>
    <row r="325" spans="1:11" x14ac:dyDescent="0.25">
      <c r="A325" s="4" t="s">
        <v>326</v>
      </c>
      <c r="B325" s="4">
        <v>163</v>
      </c>
      <c r="C325">
        <f t="shared" si="24"/>
        <v>0.81499999999999995</v>
      </c>
      <c r="D325">
        <f t="shared" si="25"/>
        <v>335.2</v>
      </c>
      <c r="E325">
        <v>62.2</v>
      </c>
      <c r="G325">
        <f t="shared" si="26"/>
        <v>335.2</v>
      </c>
      <c r="H325" s="2">
        <f t="shared" si="27"/>
        <v>2.0317605633802818</v>
      </c>
      <c r="J325" s="2">
        <f t="shared" si="28"/>
        <v>2.9832935560859188</v>
      </c>
      <c r="K325" s="3">
        <f t="shared" si="29"/>
        <v>1.417805379582479</v>
      </c>
    </row>
    <row r="326" spans="1:11" x14ac:dyDescent="0.25">
      <c r="A326" s="4" t="s">
        <v>327</v>
      </c>
      <c r="B326" s="4">
        <v>165</v>
      </c>
      <c r="C326">
        <f t="shared" si="24"/>
        <v>0.82499999999999996</v>
      </c>
      <c r="D326">
        <f t="shared" si="25"/>
        <v>334.9</v>
      </c>
      <c r="E326">
        <v>61.9</v>
      </c>
      <c r="G326">
        <f t="shared" si="26"/>
        <v>334.9</v>
      </c>
      <c r="H326" s="2">
        <f t="shared" si="27"/>
        <v>2.0566901408450704</v>
      </c>
      <c r="J326" s="2">
        <f t="shared" si="28"/>
        <v>2.9859659599880564</v>
      </c>
      <c r="K326" s="3">
        <f t="shared" si="29"/>
        <v>1.4421959257701154</v>
      </c>
    </row>
    <row r="327" spans="1:11" x14ac:dyDescent="0.25">
      <c r="A327" s="4" t="s">
        <v>328</v>
      </c>
      <c r="B327" s="4">
        <v>164</v>
      </c>
      <c r="C327">
        <f t="shared" si="24"/>
        <v>0.82</v>
      </c>
      <c r="D327">
        <f t="shared" si="25"/>
        <v>334.9</v>
      </c>
      <c r="E327">
        <v>61.9</v>
      </c>
      <c r="G327">
        <f t="shared" si="26"/>
        <v>334.9</v>
      </c>
      <c r="H327" s="2">
        <f t="shared" si="27"/>
        <v>2.0442253521126763</v>
      </c>
      <c r="J327" s="2">
        <f t="shared" si="28"/>
        <v>2.9859659599880564</v>
      </c>
      <c r="K327" s="3">
        <f t="shared" si="29"/>
        <v>1.4300378336173512</v>
      </c>
    </row>
    <row r="328" spans="1:11" x14ac:dyDescent="0.25">
      <c r="A328" s="4" t="s">
        <v>329</v>
      </c>
      <c r="B328" s="4">
        <v>164</v>
      </c>
      <c r="C328">
        <f t="shared" si="24"/>
        <v>0.82</v>
      </c>
      <c r="D328">
        <f t="shared" si="25"/>
        <v>334.9</v>
      </c>
      <c r="E328">
        <v>61.9</v>
      </c>
      <c r="G328">
        <f t="shared" si="26"/>
        <v>334.9</v>
      </c>
      <c r="H328" s="2">
        <f t="shared" si="27"/>
        <v>2.0442253521126763</v>
      </c>
      <c r="J328" s="2">
        <f t="shared" si="28"/>
        <v>2.9859659599880564</v>
      </c>
      <c r="K328" s="3">
        <f t="shared" si="29"/>
        <v>1.4300378336173512</v>
      </c>
    </row>
    <row r="329" spans="1:11" x14ac:dyDescent="0.25">
      <c r="A329" s="4" t="s">
        <v>330</v>
      </c>
      <c r="B329" s="4">
        <v>163</v>
      </c>
      <c r="C329">
        <f t="shared" si="24"/>
        <v>0.81499999999999995</v>
      </c>
      <c r="D329">
        <f t="shared" si="25"/>
        <v>334.9</v>
      </c>
      <c r="E329">
        <v>61.9</v>
      </c>
      <c r="G329">
        <f t="shared" si="26"/>
        <v>334.9</v>
      </c>
      <c r="H329" s="2">
        <f t="shared" si="27"/>
        <v>2.0317605633802818</v>
      </c>
      <c r="J329" s="2">
        <f t="shared" si="28"/>
        <v>2.9859659599880564</v>
      </c>
      <c r="K329" s="3">
        <f t="shared" si="29"/>
        <v>1.417805379582479</v>
      </c>
    </row>
    <row r="330" spans="1:11" x14ac:dyDescent="0.25">
      <c r="A330" s="4" t="s">
        <v>331</v>
      </c>
      <c r="B330" s="4">
        <v>163</v>
      </c>
      <c r="C330">
        <f t="shared" si="24"/>
        <v>0.81499999999999995</v>
      </c>
      <c r="D330">
        <f t="shared" si="25"/>
        <v>334.9</v>
      </c>
      <c r="E330">
        <v>61.9</v>
      </c>
      <c r="G330">
        <f t="shared" si="26"/>
        <v>334.9</v>
      </c>
      <c r="H330" s="2">
        <f t="shared" si="27"/>
        <v>2.0317605633802818</v>
      </c>
      <c r="J330" s="2">
        <f t="shared" si="28"/>
        <v>2.9859659599880564</v>
      </c>
      <c r="K330" s="3">
        <f t="shared" si="29"/>
        <v>1.417805379582479</v>
      </c>
    </row>
    <row r="331" spans="1:11" x14ac:dyDescent="0.25">
      <c r="A331" s="4" t="s">
        <v>332</v>
      </c>
      <c r="B331" s="4">
        <v>164</v>
      </c>
      <c r="C331">
        <f t="shared" ref="C331:C394" si="30">B331/200</f>
        <v>0.82</v>
      </c>
      <c r="D331">
        <f t="shared" ref="D331:D394" si="31">273+E331</f>
        <v>334.9</v>
      </c>
      <c r="E331">
        <v>61.9</v>
      </c>
      <c r="G331">
        <f t="shared" ref="G331:G394" si="32">D331</f>
        <v>334.9</v>
      </c>
      <c r="H331" s="2">
        <f t="shared" ref="H331:H394" si="33">1.77*B331/142</f>
        <v>2.0442253521126763</v>
      </c>
      <c r="J331" s="2">
        <f t="shared" ref="J331:J394" si="34">1000/G331</f>
        <v>2.9859659599880564</v>
      </c>
      <c r="K331" s="3">
        <f t="shared" ref="K331:K394" si="35">LN(H331*H331)</f>
        <v>1.4300378336173512</v>
      </c>
    </row>
    <row r="332" spans="1:11" x14ac:dyDescent="0.25">
      <c r="A332" s="4" t="s">
        <v>333</v>
      </c>
      <c r="B332" s="4">
        <v>163</v>
      </c>
      <c r="C332">
        <f t="shared" si="30"/>
        <v>0.81499999999999995</v>
      </c>
      <c r="D332">
        <f t="shared" si="31"/>
        <v>334.9</v>
      </c>
      <c r="E332">
        <v>61.9</v>
      </c>
      <c r="G332">
        <f t="shared" si="32"/>
        <v>334.9</v>
      </c>
      <c r="H332" s="2">
        <f t="shared" si="33"/>
        <v>2.0317605633802818</v>
      </c>
      <c r="J332" s="2">
        <f t="shared" si="34"/>
        <v>2.9859659599880564</v>
      </c>
      <c r="K332" s="3">
        <f t="shared" si="35"/>
        <v>1.417805379582479</v>
      </c>
    </row>
    <row r="333" spans="1:11" x14ac:dyDescent="0.25">
      <c r="A333" s="4" t="s">
        <v>334</v>
      </c>
      <c r="B333" s="4">
        <v>163</v>
      </c>
      <c r="C333">
        <f t="shared" si="30"/>
        <v>0.81499999999999995</v>
      </c>
      <c r="D333">
        <f t="shared" si="31"/>
        <v>334.8</v>
      </c>
      <c r="E333">
        <v>61.8</v>
      </c>
      <c r="G333">
        <f t="shared" si="32"/>
        <v>334.8</v>
      </c>
      <c r="H333" s="2">
        <f t="shared" si="33"/>
        <v>2.0317605633802818</v>
      </c>
      <c r="J333" s="2">
        <f t="shared" si="34"/>
        <v>2.9868578255675029</v>
      </c>
      <c r="K333" s="3">
        <f t="shared" si="35"/>
        <v>1.417805379582479</v>
      </c>
    </row>
    <row r="334" spans="1:11" x14ac:dyDescent="0.25">
      <c r="A334" s="4" t="s">
        <v>335</v>
      </c>
      <c r="B334" s="4">
        <v>162</v>
      </c>
      <c r="C334">
        <f t="shared" si="30"/>
        <v>0.81</v>
      </c>
      <c r="D334">
        <f t="shared" si="31"/>
        <v>334.8</v>
      </c>
      <c r="E334">
        <v>61.8</v>
      </c>
      <c r="G334">
        <f t="shared" si="32"/>
        <v>334.8</v>
      </c>
      <c r="H334" s="2">
        <f t="shared" si="33"/>
        <v>2.0192957746478872</v>
      </c>
      <c r="J334" s="2">
        <f t="shared" si="34"/>
        <v>2.9868578255675029</v>
      </c>
      <c r="K334" s="3">
        <f t="shared" si="35"/>
        <v>1.405497648433722</v>
      </c>
    </row>
    <row r="335" spans="1:11" x14ac:dyDescent="0.25">
      <c r="A335" s="4" t="s">
        <v>336</v>
      </c>
      <c r="B335" s="4">
        <v>164</v>
      </c>
      <c r="C335">
        <f t="shared" si="30"/>
        <v>0.82</v>
      </c>
      <c r="D335">
        <f t="shared" si="31"/>
        <v>334.8</v>
      </c>
      <c r="E335">
        <v>61.8</v>
      </c>
      <c r="G335">
        <f t="shared" si="32"/>
        <v>334.8</v>
      </c>
      <c r="H335" s="2">
        <f t="shared" si="33"/>
        <v>2.0442253521126763</v>
      </c>
      <c r="J335" s="2">
        <f t="shared" si="34"/>
        <v>2.9868578255675029</v>
      </c>
      <c r="K335" s="3">
        <f t="shared" si="35"/>
        <v>1.4300378336173512</v>
      </c>
    </row>
    <row r="336" spans="1:11" x14ac:dyDescent="0.25">
      <c r="A336" s="4" t="s">
        <v>337</v>
      </c>
      <c r="B336" s="4">
        <v>163</v>
      </c>
      <c r="C336">
        <f t="shared" si="30"/>
        <v>0.81499999999999995</v>
      </c>
      <c r="D336">
        <f t="shared" si="31"/>
        <v>334.7</v>
      </c>
      <c r="E336">
        <v>61.7</v>
      </c>
      <c r="G336">
        <f t="shared" si="32"/>
        <v>334.7</v>
      </c>
      <c r="H336" s="2">
        <f t="shared" si="33"/>
        <v>2.0317605633802818</v>
      </c>
      <c r="J336" s="2">
        <f t="shared" si="34"/>
        <v>2.987750224081267</v>
      </c>
      <c r="K336" s="3">
        <f t="shared" si="35"/>
        <v>1.417805379582479</v>
      </c>
    </row>
    <row r="337" spans="1:11" x14ac:dyDescent="0.25">
      <c r="A337" s="4" t="s">
        <v>338</v>
      </c>
      <c r="B337" s="4">
        <v>163</v>
      </c>
      <c r="C337">
        <f t="shared" si="30"/>
        <v>0.81499999999999995</v>
      </c>
      <c r="D337">
        <f t="shared" si="31"/>
        <v>334.7</v>
      </c>
      <c r="E337">
        <v>61.7</v>
      </c>
      <c r="G337">
        <f t="shared" si="32"/>
        <v>334.7</v>
      </c>
      <c r="H337" s="2">
        <f t="shared" si="33"/>
        <v>2.0317605633802818</v>
      </c>
      <c r="J337" s="2">
        <f t="shared" si="34"/>
        <v>2.987750224081267</v>
      </c>
      <c r="K337" s="3">
        <f t="shared" si="35"/>
        <v>1.417805379582479</v>
      </c>
    </row>
    <row r="338" spans="1:11" x14ac:dyDescent="0.25">
      <c r="A338" s="4" t="s">
        <v>339</v>
      </c>
      <c r="B338" s="4">
        <v>162</v>
      </c>
      <c r="C338">
        <f t="shared" si="30"/>
        <v>0.81</v>
      </c>
      <c r="D338">
        <f t="shared" si="31"/>
        <v>334.7</v>
      </c>
      <c r="E338">
        <v>61.7</v>
      </c>
      <c r="G338">
        <f t="shared" si="32"/>
        <v>334.7</v>
      </c>
      <c r="H338" s="2">
        <f t="shared" si="33"/>
        <v>2.0192957746478872</v>
      </c>
      <c r="J338" s="2">
        <f t="shared" si="34"/>
        <v>2.987750224081267</v>
      </c>
      <c r="K338" s="3">
        <f t="shared" si="35"/>
        <v>1.405497648433722</v>
      </c>
    </row>
    <row r="339" spans="1:11" x14ac:dyDescent="0.25">
      <c r="A339" s="4" t="s">
        <v>340</v>
      </c>
      <c r="B339" s="4">
        <v>162</v>
      </c>
      <c r="C339">
        <f t="shared" si="30"/>
        <v>0.81</v>
      </c>
      <c r="D339">
        <f t="shared" si="31"/>
        <v>334.5</v>
      </c>
      <c r="E339">
        <v>61.5</v>
      </c>
      <c r="G339">
        <f t="shared" si="32"/>
        <v>334.5</v>
      </c>
      <c r="H339" s="2">
        <f t="shared" si="33"/>
        <v>2.0192957746478872</v>
      </c>
      <c r="J339" s="2">
        <f t="shared" si="34"/>
        <v>2.9895366218236172</v>
      </c>
      <c r="K339" s="3">
        <f t="shared" si="35"/>
        <v>1.405497648433722</v>
      </c>
    </row>
    <row r="340" spans="1:11" x14ac:dyDescent="0.25">
      <c r="A340" s="4" t="s">
        <v>341</v>
      </c>
      <c r="B340" s="4">
        <v>161</v>
      </c>
      <c r="C340">
        <f t="shared" si="30"/>
        <v>0.80500000000000005</v>
      </c>
      <c r="D340">
        <f t="shared" si="31"/>
        <v>334.5</v>
      </c>
      <c r="E340">
        <v>61.5</v>
      </c>
      <c r="G340">
        <f t="shared" si="32"/>
        <v>334.5</v>
      </c>
      <c r="H340" s="2">
        <f t="shared" si="33"/>
        <v>2.0068309859154931</v>
      </c>
      <c r="J340" s="2">
        <f t="shared" si="34"/>
        <v>2.9895366218236172</v>
      </c>
      <c r="K340" s="3">
        <f t="shared" si="35"/>
        <v>1.3931137079378804</v>
      </c>
    </row>
    <row r="341" spans="1:11" x14ac:dyDescent="0.25">
      <c r="A341" s="4" t="s">
        <v>342</v>
      </c>
      <c r="B341" s="4">
        <v>161</v>
      </c>
      <c r="C341">
        <f t="shared" si="30"/>
        <v>0.80500000000000005</v>
      </c>
      <c r="D341">
        <f t="shared" si="31"/>
        <v>334.5</v>
      </c>
      <c r="E341">
        <v>61.5</v>
      </c>
      <c r="G341">
        <f t="shared" si="32"/>
        <v>334.5</v>
      </c>
      <c r="H341" s="2">
        <f t="shared" si="33"/>
        <v>2.0068309859154931</v>
      </c>
      <c r="J341" s="2">
        <f t="shared" si="34"/>
        <v>2.9895366218236172</v>
      </c>
      <c r="K341" s="3">
        <f t="shared" si="35"/>
        <v>1.3931137079378804</v>
      </c>
    </row>
    <row r="342" spans="1:11" x14ac:dyDescent="0.25">
      <c r="A342" s="4" t="s">
        <v>343</v>
      </c>
      <c r="B342" s="4">
        <v>162</v>
      </c>
      <c r="C342">
        <f t="shared" si="30"/>
        <v>0.81</v>
      </c>
      <c r="D342">
        <f t="shared" si="31"/>
        <v>334.3</v>
      </c>
      <c r="E342">
        <v>61.3</v>
      </c>
      <c r="G342">
        <f t="shared" si="32"/>
        <v>334.3</v>
      </c>
      <c r="H342" s="2">
        <f t="shared" si="33"/>
        <v>2.0192957746478872</v>
      </c>
      <c r="J342" s="2">
        <f t="shared" si="34"/>
        <v>2.9913251570445705</v>
      </c>
      <c r="K342" s="3">
        <f t="shared" si="35"/>
        <v>1.405497648433722</v>
      </c>
    </row>
    <row r="343" spans="1:11" x14ac:dyDescent="0.25">
      <c r="A343" s="4" t="s">
        <v>344</v>
      </c>
      <c r="B343" s="4">
        <v>162</v>
      </c>
      <c r="C343">
        <f t="shared" si="30"/>
        <v>0.81</v>
      </c>
      <c r="D343">
        <f t="shared" si="31"/>
        <v>334.3</v>
      </c>
      <c r="E343">
        <v>61.3</v>
      </c>
      <c r="G343">
        <f t="shared" si="32"/>
        <v>334.3</v>
      </c>
      <c r="H343" s="2">
        <f t="shared" si="33"/>
        <v>2.0192957746478872</v>
      </c>
      <c r="J343" s="2">
        <f t="shared" si="34"/>
        <v>2.9913251570445705</v>
      </c>
      <c r="K343" s="3">
        <f t="shared" si="35"/>
        <v>1.405497648433722</v>
      </c>
    </row>
    <row r="344" spans="1:11" x14ac:dyDescent="0.25">
      <c r="A344" s="4" t="s">
        <v>345</v>
      </c>
      <c r="B344" s="4">
        <v>161</v>
      </c>
      <c r="C344">
        <f t="shared" si="30"/>
        <v>0.80500000000000005</v>
      </c>
      <c r="D344">
        <f t="shared" si="31"/>
        <v>334.3</v>
      </c>
      <c r="E344">
        <v>61.3</v>
      </c>
      <c r="G344">
        <f t="shared" si="32"/>
        <v>334.3</v>
      </c>
      <c r="H344" s="2">
        <f t="shared" si="33"/>
        <v>2.0068309859154931</v>
      </c>
      <c r="J344" s="2">
        <f t="shared" si="34"/>
        <v>2.9913251570445705</v>
      </c>
      <c r="K344" s="3">
        <f t="shared" si="35"/>
        <v>1.3931137079378804</v>
      </c>
    </row>
    <row r="345" spans="1:11" x14ac:dyDescent="0.25">
      <c r="A345" s="4" t="s">
        <v>346</v>
      </c>
      <c r="B345" s="4">
        <v>161</v>
      </c>
      <c r="C345">
        <f t="shared" si="30"/>
        <v>0.80500000000000005</v>
      </c>
      <c r="D345">
        <f t="shared" si="31"/>
        <v>334.3</v>
      </c>
      <c r="E345">
        <v>61.3</v>
      </c>
      <c r="G345">
        <f t="shared" si="32"/>
        <v>334.3</v>
      </c>
      <c r="H345" s="2">
        <f t="shared" si="33"/>
        <v>2.0068309859154931</v>
      </c>
      <c r="J345" s="2">
        <f t="shared" si="34"/>
        <v>2.9913251570445705</v>
      </c>
      <c r="K345" s="3">
        <f t="shared" si="35"/>
        <v>1.3931137079378804</v>
      </c>
    </row>
    <row r="346" spans="1:11" x14ac:dyDescent="0.25">
      <c r="A346" s="4" t="s">
        <v>347</v>
      </c>
      <c r="B346" s="4">
        <v>161</v>
      </c>
      <c r="C346">
        <f t="shared" si="30"/>
        <v>0.80500000000000005</v>
      </c>
      <c r="D346">
        <f t="shared" si="31"/>
        <v>334.1</v>
      </c>
      <c r="E346">
        <v>61.1</v>
      </c>
      <c r="G346">
        <f t="shared" si="32"/>
        <v>334.1</v>
      </c>
      <c r="H346" s="2">
        <f t="shared" si="33"/>
        <v>2.0068309859154931</v>
      </c>
      <c r="J346" s="2">
        <f t="shared" si="34"/>
        <v>2.9931158335827592</v>
      </c>
      <c r="K346" s="3">
        <f t="shared" si="35"/>
        <v>1.3931137079378804</v>
      </c>
    </row>
    <row r="347" spans="1:11" x14ac:dyDescent="0.25">
      <c r="A347" s="4" t="s">
        <v>348</v>
      </c>
      <c r="B347" s="4">
        <v>160</v>
      </c>
      <c r="C347">
        <f t="shared" si="30"/>
        <v>0.8</v>
      </c>
      <c r="D347">
        <f t="shared" si="31"/>
        <v>334.1</v>
      </c>
      <c r="E347">
        <v>61.1</v>
      </c>
      <c r="G347">
        <f t="shared" si="32"/>
        <v>334.1</v>
      </c>
      <c r="H347" s="2">
        <f t="shared" si="33"/>
        <v>1.9943661971830986</v>
      </c>
      <c r="J347" s="2">
        <f t="shared" si="34"/>
        <v>2.9931158335827592</v>
      </c>
      <c r="K347" s="3">
        <f t="shared" si="35"/>
        <v>1.380652608436608</v>
      </c>
    </row>
    <row r="348" spans="1:11" x14ac:dyDescent="0.25">
      <c r="A348" s="4" t="s">
        <v>349</v>
      </c>
      <c r="B348" s="4">
        <v>160</v>
      </c>
      <c r="C348">
        <f t="shared" si="30"/>
        <v>0.8</v>
      </c>
      <c r="D348">
        <f t="shared" si="31"/>
        <v>334.1</v>
      </c>
      <c r="E348">
        <v>61.1</v>
      </c>
      <c r="G348">
        <f t="shared" si="32"/>
        <v>334.1</v>
      </c>
      <c r="H348" s="2">
        <f t="shared" si="33"/>
        <v>1.9943661971830986</v>
      </c>
      <c r="J348" s="2">
        <f t="shared" si="34"/>
        <v>2.9931158335827592</v>
      </c>
      <c r="K348" s="3">
        <f t="shared" si="35"/>
        <v>1.380652608436608</v>
      </c>
    </row>
    <row r="349" spans="1:11" x14ac:dyDescent="0.25">
      <c r="A349" s="4" t="s">
        <v>350</v>
      </c>
      <c r="B349" s="4">
        <v>161</v>
      </c>
      <c r="C349">
        <f t="shared" si="30"/>
        <v>0.80500000000000005</v>
      </c>
      <c r="D349">
        <f t="shared" si="31"/>
        <v>333.9</v>
      </c>
      <c r="E349">
        <v>60.9</v>
      </c>
      <c r="G349">
        <f t="shared" si="32"/>
        <v>333.9</v>
      </c>
      <c r="H349" s="2">
        <f t="shared" si="33"/>
        <v>2.0068309859154931</v>
      </c>
      <c r="J349" s="2">
        <f t="shared" si="34"/>
        <v>2.994908655286014</v>
      </c>
      <c r="K349" s="3">
        <f t="shared" si="35"/>
        <v>1.3931137079378804</v>
      </c>
    </row>
    <row r="350" spans="1:11" x14ac:dyDescent="0.25">
      <c r="A350" s="4" t="s">
        <v>351</v>
      </c>
      <c r="B350" s="4">
        <v>161</v>
      </c>
      <c r="C350">
        <f t="shared" si="30"/>
        <v>0.80500000000000005</v>
      </c>
      <c r="D350">
        <f t="shared" si="31"/>
        <v>333.9</v>
      </c>
      <c r="E350">
        <v>60.9</v>
      </c>
      <c r="G350">
        <f t="shared" si="32"/>
        <v>333.9</v>
      </c>
      <c r="H350" s="2">
        <f t="shared" si="33"/>
        <v>2.0068309859154931</v>
      </c>
      <c r="J350" s="2">
        <f t="shared" si="34"/>
        <v>2.994908655286014</v>
      </c>
      <c r="K350" s="3">
        <f t="shared" si="35"/>
        <v>1.3931137079378804</v>
      </c>
    </row>
    <row r="351" spans="1:11" x14ac:dyDescent="0.25">
      <c r="A351" s="4" t="s">
        <v>352</v>
      </c>
      <c r="B351" s="4">
        <v>160</v>
      </c>
      <c r="C351">
        <f t="shared" si="30"/>
        <v>0.8</v>
      </c>
      <c r="D351">
        <f t="shared" si="31"/>
        <v>333.9</v>
      </c>
      <c r="E351">
        <v>60.9</v>
      </c>
      <c r="G351">
        <f t="shared" si="32"/>
        <v>333.9</v>
      </c>
      <c r="H351" s="2">
        <f t="shared" si="33"/>
        <v>1.9943661971830986</v>
      </c>
      <c r="J351" s="2">
        <f t="shared" si="34"/>
        <v>2.994908655286014</v>
      </c>
      <c r="K351" s="3">
        <f t="shared" si="35"/>
        <v>1.380652608436608</v>
      </c>
    </row>
    <row r="352" spans="1:11" x14ac:dyDescent="0.25">
      <c r="A352" s="4" t="s">
        <v>353</v>
      </c>
      <c r="B352" s="4">
        <v>161</v>
      </c>
      <c r="C352">
        <f t="shared" si="30"/>
        <v>0.80500000000000005</v>
      </c>
      <c r="D352">
        <f t="shared" si="31"/>
        <v>333.9</v>
      </c>
      <c r="E352">
        <v>60.9</v>
      </c>
      <c r="G352">
        <f t="shared" si="32"/>
        <v>333.9</v>
      </c>
      <c r="H352" s="2">
        <f t="shared" si="33"/>
        <v>2.0068309859154931</v>
      </c>
      <c r="J352" s="2">
        <f t="shared" si="34"/>
        <v>2.994908655286014</v>
      </c>
      <c r="K352" s="3">
        <f t="shared" si="35"/>
        <v>1.3931137079378804</v>
      </c>
    </row>
    <row r="353" spans="1:11" x14ac:dyDescent="0.25">
      <c r="A353" s="4" t="s">
        <v>354</v>
      </c>
      <c r="B353" s="4">
        <v>161</v>
      </c>
      <c r="C353">
        <f t="shared" si="30"/>
        <v>0.80500000000000005</v>
      </c>
      <c r="D353">
        <f t="shared" si="31"/>
        <v>333.9</v>
      </c>
      <c r="E353">
        <v>60.9</v>
      </c>
      <c r="G353">
        <f t="shared" si="32"/>
        <v>333.9</v>
      </c>
      <c r="H353" s="2">
        <f t="shared" si="33"/>
        <v>2.0068309859154931</v>
      </c>
      <c r="J353" s="2">
        <f t="shared" si="34"/>
        <v>2.994908655286014</v>
      </c>
      <c r="K353" s="3">
        <f t="shared" si="35"/>
        <v>1.3931137079378804</v>
      </c>
    </row>
    <row r="354" spans="1:11" x14ac:dyDescent="0.25">
      <c r="A354" s="4" t="s">
        <v>355</v>
      </c>
      <c r="B354" s="4">
        <v>160</v>
      </c>
      <c r="C354">
        <f t="shared" si="30"/>
        <v>0.8</v>
      </c>
      <c r="D354">
        <f t="shared" si="31"/>
        <v>333.9</v>
      </c>
      <c r="E354">
        <v>60.9</v>
      </c>
      <c r="G354">
        <f t="shared" si="32"/>
        <v>333.9</v>
      </c>
      <c r="H354" s="2">
        <f t="shared" si="33"/>
        <v>1.9943661971830986</v>
      </c>
      <c r="J354" s="2">
        <f t="shared" si="34"/>
        <v>2.994908655286014</v>
      </c>
      <c r="K354" s="3">
        <f t="shared" si="35"/>
        <v>1.380652608436608</v>
      </c>
    </row>
    <row r="355" spans="1:11" x14ac:dyDescent="0.25">
      <c r="A355" s="4" t="s">
        <v>356</v>
      </c>
      <c r="B355" s="4">
        <v>159</v>
      </c>
      <c r="C355">
        <f t="shared" si="30"/>
        <v>0.79500000000000004</v>
      </c>
      <c r="D355">
        <f t="shared" si="31"/>
        <v>333.7</v>
      </c>
      <c r="E355">
        <v>60.7</v>
      </c>
      <c r="G355">
        <f t="shared" si="32"/>
        <v>333.7</v>
      </c>
      <c r="H355" s="2">
        <f t="shared" si="33"/>
        <v>1.9819014084507043</v>
      </c>
      <c r="J355" s="2">
        <f t="shared" si="34"/>
        <v>2.9967036260113877</v>
      </c>
      <c r="K355" s="3">
        <f t="shared" si="35"/>
        <v>1.3681133824094172</v>
      </c>
    </row>
    <row r="356" spans="1:11" x14ac:dyDescent="0.25">
      <c r="A356" s="4" t="s">
        <v>357</v>
      </c>
      <c r="B356" s="4">
        <v>160</v>
      </c>
      <c r="C356">
        <f t="shared" si="30"/>
        <v>0.8</v>
      </c>
      <c r="D356">
        <f t="shared" si="31"/>
        <v>333.7</v>
      </c>
      <c r="E356">
        <v>60.7</v>
      </c>
      <c r="G356">
        <f t="shared" si="32"/>
        <v>333.7</v>
      </c>
      <c r="H356" s="2">
        <f t="shared" si="33"/>
        <v>1.9943661971830986</v>
      </c>
      <c r="J356" s="2">
        <f t="shared" si="34"/>
        <v>2.9967036260113877</v>
      </c>
      <c r="K356" s="3">
        <f t="shared" si="35"/>
        <v>1.380652608436608</v>
      </c>
    </row>
    <row r="357" spans="1:11" x14ac:dyDescent="0.25">
      <c r="A357" s="4" t="s">
        <v>358</v>
      </c>
      <c r="B357" s="4">
        <v>159</v>
      </c>
      <c r="C357">
        <f t="shared" si="30"/>
        <v>0.79500000000000004</v>
      </c>
      <c r="D357">
        <f t="shared" si="31"/>
        <v>333.7</v>
      </c>
      <c r="E357">
        <v>60.7</v>
      </c>
      <c r="G357">
        <f t="shared" si="32"/>
        <v>333.7</v>
      </c>
      <c r="H357" s="2">
        <f t="shared" si="33"/>
        <v>1.9819014084507043</v>
      </c>
      <c r="J357" s="2">
        <f t="shared" si="34"/>
        <v>2.9967036260113877</v>
      </c>
      <c r="K357" s="3">
        <f t="shared" si="35"/>
        <v>1.3681133824094172</v>
      </c>
    </row>
    <row r="358" spans="1:11" x14ac:dyDescent="0.25">
      <c r="A358" s="4" t="s">
        <v>359</v>
      </c>
      <c r="B358" s="4">
        <v>160</v>
      </c>
      <c r="C358">
        <f t="shared" si="30"/>
        <v>0.8</v>
      </c>
      <c r="D358">
        <f t="shared" si="31"/>
        <v>333.6</v>
      </c>
      <c r="E358">
        <v>60.6</v>
      </c>
      <c r="G358">
        <f t="shared" si="32"/>
        <v>333.6</v>
      </c>
      <c r="H358" s="2">
        <f t="shared" si="33"/>
        <v>1.9943661971830986</v>
      </c>
      <c r="J358" s="2">
        <f t="shared" si="34"/>
        <v>2.9976019184652278</v>
      </c>
      <c r="K358" s="3">
        <f t="shared" si="35"/>
        <v>1.380652608436608</v>
      </c>
    </row>
    <row r="359" spans="1:11" x14ac:dyDescent="0.25">
      <c r="A359" s="4" t="s">
        <v>360</v>
      </c>
      <c r="B359" s="4">
        <v>159</v>
      </c>
      <c r="C359">
        <f t="shared" si="30"/>
        <v>0.79500000000000004</v>
      </c>
      <c r="D359">
        <f t="shared" si="31"/>
        <v>333.6</v>
      </c>
      <c r="E359">
        <v>60.6</v>
      </c>
      <c r="G359">
        <f t="shared" si="32"/>
        <v>333.6</v>
      </c>
      <c r="H359" s="2">
        <f t="shared" si="33"/>
        <v>1.9819014084507043</v>
      </c>
      <c r="J359" s="2">
        <f t="shared" si="34"/>
        <v>2.9976019184652278</v>
      </c>
      <c r="K359" s="3">
        <f t="shared" si="35"/>
        <v>1.3681133824094172</v>
      </c>
    </row>
    <row r="360" spans="1:11" x14ac:dyDescent="0.25">
      <c r="A360" s="4" t="s">
        <v>361</v>
      </c>
      <c r="B360" s="4">
        <v>159</v>
      </c>
      <c r="C360">
        <f t="shared" si="30"/>
        <v>0.79500000000000004</v>
      </c>
      <c r="D360">
        <f t="shared" si="31"/>
        <v>333.6</v>
      </c>
      <c r="E360">
        <v>60.6</v>
      </c>
      <c r="G360">
        <f t="shared" si="32"/>
        <v>333.6</v>
      </c>
      <c r="H360" s="2">
        <f t="shared" si="33"/>
        <v>1.9819014084507043</v>
      </c>
      <c r="J360" s="2">
        <f t="shared" si="34"/>
        <v>2.9976019184652278</v>
      </c>
      <c r="K360" s="3">
        <f t="shared" si="35"/>
        <v>1.3681133824094172</v>
      </c>
    </row>
    <row r="361" spans="1:11" x14ac:dyDescent="0.25">
      <c r="A361" s="4" t="s">
        <v>362</v>
      </c>
      <c r="B361" s="4">
        <v>158</v>
      </c>
      <c r="C361">
        <f t="shared" si="30"/>
        <v>0.79</v>
      </c>
      <c r="D361">
        <f t="shared" si="31"/>
        <v>333.6</v>
      </c>
      <c r="E361">
        <v>60.6</v>
      </c>
      <c r="G361">
        <f t="shared" si="32"/>
        <v>333.6</v>
      </c>
      <c r="H361" s="2">
        <f t="shared" si="33"/>
        <v>1.96943661971831</v>
      </c>
      <c r="J361" s="2">
        <f t="shared" si="34"/>
        <v>2.9976019184652278</v>
      </c>
      <c r="K361" s="3">
        <f t="shared" si="35"/>
        <v>1.3554950440228877</v>
      </c>
    </row>
    <row r="362" spans="1:11" x14ac:dyDescent="0.25">
      <c r="A362" s="4" t="s">
        <v>363</v>
      </c>
      <c r="B362" s="4">
        <v>158</v>
      </c>
      <c r="C362">
        <f t="shared" si="30"/>
        <v>0.79</v>
      </c>
      <c r="D362">
        <f t="shared" si="31"/>
        <v>333.4</v>
      </c>
      <c r="E362">
        <v>60.4</v>
      </c>
      <c r="G362">
        <f t="shared" si="32"/>
        <v>333.4</v>
      </c>
      <c r="H362" s="2">
        <f t="shared" si="33"/>
        <v>1.96943661971831</v>
      </c>
      <c r="J362" s="2">
        <f t="shared" si="34"/>
        <v>2.9994001199760052</v>
      </c>
      <c r="K362" s="3">
        <f t="shared" si="35"/>
        <v>1.3554950440228877</v>
      </c>
    </row>
    <row r="363" spans="1:11" x14ac:dyDescent="0.25">
      <c r="A363" s="4" t="s">
        <v>364</v>
      </c>
      <c r="B363" s="4">
        <v>158</v>
      </c>
      <c r="C363">
        <f t="shared" si="30"/>
        <v>0.79</v>
      </c>
      <c r="D363">
        <f t="shared" si="31"/>
        <v>333.4</v>
      </c>
      <c r="E363">
        <v>60.4</v>
      </c>
      <c r="G363">
        <f t="shared" si="32"/>
        <v>333.4</v>
      </c>
      <c r="H363" s="2">
        <f t="shared" si="33"/>
        <v>1.96943661971831</v>
      </c>
      <c r="J363" s="2">
        <f t="shared" si="34"/>
        <v>2.9994001199760052</v>
      </c>
      <c r="K363" s="3">
        <f t="shared" si="35"/>
        <v>1.3554950440228877</v>
      </c>
    </row>
    <row r="364" spans="1:11" x14ac:dyDescent="0.25">
      <c r="A364" s="4" t="s">
        <v>365</v>
      </c>
      <c r="B364" s="4">
        <v>158</v>
      </c>
      <c r="C364">
        <f t="shared" si="30"/>
        <v>0.79</v>
      </c>
      <c r="D364">
        <f t="shared" si="31"/>
        <v>333.4</v>
      </c>
      <c r="E364">
        <v>60.4</v>
      </c>
      <c r="G364">
        <f t="shared" si="32"/>
        <v>333.4</v>
      </c>
      <c r="H364" s="2">
        <f t="shared" si="33"/>
        <v>1.96943661971831</v>
      </c>
      <c r="J364" s="2">
        <f t="shared" si="34"/>
        <v>2.9994001199760052</v>
      </c>
      <c r="K364" s="3">
        <f t="shared" si="35"/>
        <v>1.3554950440228877</v>
      </c>
    </row>
    <row r="365" spans="1:11" x14ac:dyDescent="0.25">
      <c r="A365" s="4" t="s">
        <v>366</v>
      </c>
      <c r="B365" s="4">
        <v>158</v>
      </c>
      <c r="C365">
        <f t="shared" si="30"/>
        <v>0.79</v>
      </c>
      <c r="D365">
        <f t="shared" si="31"/>
        <v>333.2</v>
      </c>
      <c r="E365">
        <v>60.2</v>
      </c>
      <c r="G365">
        <f t="shared" si="32"/>
        <v>333.2</v>
      </c>
      <c r="H365" s="2">
        <f t="shared" si="33"/>
        <v>1.96943661971831</v>
      </c>
      <c r="J365" s="2">
        <f t="shared" si="34"/>
        <v>3.0012004801920771</v>
      </c>
      <c r="K365" s="3">
        <f t="shared" si="35"/>
        <v>1.3554950440228877</v>
      </c>
    </row>
    <row r="366" spans="1:11" x14ac:dyDescent="0.25">
      <c r="A366" s="4" t="s">
        <v>367</v>
      </c>
      <c r="B366" s="4">
        <v>158</v>
      </c>
      <c r="C366">
        <f t="shared" si="30"/>
        <v>0.79</v>
      </c>
      <c r="D366">
        <f t="shared" si="31"/>
        <v>333.2</v>
      </c>
      <c r="E366">
        <v>60.2</v>
      </c>
      <c r="G366">
        <f t="shared" si="32"/>
        <v>333.2</v>
      </c>
      <c r="H366" s="2">
        <f t="shared" si="33"/>
        <v>1.96943661971831</v>
      </c>
      <c r="J366" s="2">
        <f t="shared" si="34"/>
        <v>3.0012004801920771</v>
      </c>
      <c r="K366" s="3">
        <f t="shared" si="35"/>
        <v>1.3554950440228877</v>
      </c>
    </row>
    <row r="367" spans="1:11" x14ac:dyDescent="0.25">
      <c r="A367" s="4" t="s">
        <v>368</v>
      </c>
      <c r="B367" s="4">
        <v>158</v>
      </c>
      <c r="C367">
        <f t="shared" si="30"/>
        <v>0.79</v>
      </c>
      <c r="D367">
        <f t="shared" si="31"/>
        <v>333.2</v>
      </c>
      <c r="E367">
        <v>60.2</v>
      </c>
      <c r="G367">
        <f t="shared" si="32"/>
        <v>333.2</v>
      </c>
      <c r="H367" s="2">
        <f t="shared" si="33"/>
        <v>1.96943661971831</v>
      </c>
      <c r="J367" s="2">
        <f t="shared" si="34"/>
        <v>3.0012004801920771</v>
      </c>
      <c r="K367" s="3">
        <f t="shared" si="35"/>
        <v>1.3554950440228877</v>
      </c>
    </row>
    <row r="368" spans="1:11" x14ac:dyDescent="0.25">
      <c r="A368" s="4" t="s">
        <v>369</v>
      </c>
      <c r="B368" s="4">
        <v>156</v>
      </c>
      <c r="C368">
        <f t="shared" si="30"/>
        <v>0.78</v>
      </c>
      <c r="D368">
        <f t="shared" si="31"/>
        <v>333.2</v>
      </c>
      <c r="E368">
        <v>60.2</v>
      </c>
      <c r="G368">
        <f t="shared" si="32"/>
        <v>333.2</v>
      </c>
      <c r="H368" s="2">
        <f t="shared" si="33"/>
        <v>1.9445070422535211</v>
      </c>
      <c r="J368" s="2">
        <f t="shared" si="34"/>
        <v>3.0012004801920771</v>
      </c>
      <c r="K368" s="3">
        <f t="shared" si="35"/>
        <v>1.3300169924680283</v>
      </c>
    </row>
    <row r="369" spans="1:11" x14ac:dyDescent="0.25">
      <c r="A369" s="4" t="s">
        <v>370</v>
      </c>
      <c r="B369" s="4">
        <v>158</v>
      </c>
      <c r="C369">
        <f t="shared" si="30"/>
        <v>0.79</v>
      </c>
      <c r="D369">
        <f t="shared" si="31"/>
        <v>333.2</v>
      </c>
      <c r="E369">
        <v>60.2</v>
      </c>
      <c r="G369">
        <f t="shared" si="32"/>
        <v>333.2</v>
      </c>
      <c r="H369" s="2">
        <f t="shared" si="33"/>
        <v>1.96943661971831</v>
      </c>
      <c r="J369" s="2">
        <f t="shared" si="34"/>
        <v>3.0012004801920771</v>
      </c>
      <c r="K369" s="3">
        <f t="shared" si="35"/>
        <v>1.3554950440228877</v>
      </c>
    </row>
    <row r="370" spans="1:11" x14ac:dyDescent="0.25">
      <c r="A370" s="4" t="s">
        <v>371</v>
      </c>
      <c r="B370" s="4">
        <v>157</v>
      </c>
      <c r="C370">
        <f t="shared" si="30"/>
        <v>0.78500000000000003</v>
      </c>
      <c r="D370">
        <f t="shared" si="31"/>
        <v>333.2</v>
      </c>
      <c r="E370">
        <v>60.2</v>
      </c>
      <c r="G370">
        <f t="shared" si="32"/>
        <v>333.2</v>
      </c>
      <c r="H370" s="2">
        <f t="shared" si="33"/>
        <v>1.9569718309859154</v>
      </c>
      <c r="J370" s="2">
        <f t="shared" si="34"/>
        <v>3.0012004801920771</v>
      </c>
      <c r="K370" s="3">
        <f t="shared" si="35"/>
        <v>1.3427965886655702</v>
      </c>
    </row>
    <row r="371" spans="1:11" x14ac:dyDescent="0.25">
      <c r="A371" s="4" t="s">
        <v>372</v>
      </c>
      <c r="B371" s="4">
        <v>157</v>
      </c>
      <c r="C371">
        <f t="shared" si="30"/>
        <v>0.78500000000000003</v>
      </c>
      <c r="D371">
        <f t="shared" si="31"/>
        <v>333.1</v>
      </c>
      <c r="E371">
        <v>60.1</v>
      </c>
      <c r="G371">
        <f t="shared" si="32"/>
        <v>333.1</v>
      </c>
      <c r="H371" s="2">
        <f t="shared" si="33"/>
        <v>1.9569718309859154</v>
      </c>
      <c r="J371" s="2">
        <f t="shared" si="34"/>
        <v>3.0021014710297207</v>
      </c>
      <c r="K371" s="3">
        <f t="shared" si="35"/>
        <v>1.3427965886655702</v>
      </c>
    </row>
    <row r="372" spans="1:11" x14ac:dyDescent="0.25">
      <c r="A372" s="4" t="s">
        <v>373</v>
      </c>
      <c r="B372" s="4">
        <v>157</v>
      </c>
      <c r="C372">
        <f t="shared" si="30"/>
        <v>0.78500000000000003</v>
      </c>
      <c r="D372">
        <f t="shared" si="31"/>
        <v>333.1</v>
      </c>
      <c r="E372">
        <v>60.1</v>
      </c>
      <c r="G372">
        <f t="shared" si="32"/>
        <v>333.1</v>
      </c>
      <c r="H372" s="2">
        <f t="shared" si="33"/>
        <v>1.9569718309859154</v>
      </c>
      <c r="J372" s="2">
        <f t="shared" si="34"/>
        <v>3.0021014710297207</v>
      </c>
      <c r="K372" s="3">
        <f t="shared" si="35"/>
        <v>1.3427965886655702</v>
      </c>
    </row>
    <row r="373" spans="1:11" x14ac:dyDescent="0.25">
      <c r="A373" s="4" t="s">
        <v>374</v>
      </c>
      <c r="B373" s="4">
        <v>156</v>
      </c>
      <c r="C373">
        <f t="shared" si="30"/>
        <v>0.78</v>
      </c>
      <c r="D373">
        <f t="shared" si="31"/>
        <v>333.1</v>
      </c>
      <c r="E373">
        <v>60.1</v>
      </c>
      <c r="G373">
        <f t="shared" si="32"/>
        <v>333.1</v>
      </c>
      <c r="H373" s="2">
        <f t="shared" si="33"/>
        <v>1.9445070422535211</v>
      </c>
      <c r="J373" s="2">
        <f t="shared" si="34"/>
        <v>3.0021014710297207</v>
      </c>
      <c r="K373" s="3">
        <f t="shared" si="35"/>
        <v>1.3300169924680283</v>
      </c>
    </row>
    <row r="374" spans="1:11" x14ac:dyDescent="0.25">
      <c r="A374" s="4" t="s">
        <v>375</v>
      </c>
      <c r="B374" s="4">
        <v>157</v>
      </c>
      <c r="C374">
        <f t="shared" si="30"/>
        <v>0.78500000000000003</v>
      </c>
      <c r="D374">
        <f t="shared" si="31"/>
        <v>333</v>
      </c>
      <c r="E374">
        <v>60</v>
      </c>
      <c r="G374">
        <f t="shared" si="32"/>
        <v>333</v>
      </c>
      <c r="H374" s="2">
        <f t="shared" si="33"/>
        <v>1.9569718309859154</v>
      </c>
      <c r="J374" s="2">
        <f t="shared" si="34"/>
        <v>3.0030030030030028</v>
      </c>
      <c r="K374" s="3">
        <f t="shared" si="35"/>
        <v>1.3427965886655702</v>
      </c>
    </row>
    <row r="375" spans="1:11" x14ac:dyDescent="0.25">
      <c r="A375" s="4" t="s">
        <v>376</v>
      </c>
      <c r="B375" s="4">
        <v>158</v>
      </c>
      <c r="C375">
        <f t="shared" si="30"/>
        <v>0.79</v>
      </c>
      <c r="D375">
        <f t="shared" si="31"/>
        <v>333</v>
      </c>
      <c r="E375">
        <v>60</v>
      </c>
      <c r="G375">
        <f t="shared" si="32"/>
        <v>333</v>
      </c>
      <c r="H375" s="2">
        <f t="shared" si="33"/>
        <v>1.96943661971831</v>
      </c>
      <c r="J375" s="2">
        <f t="shared" si="34"/>
        <v>3.0030030030030028</v>
      </c>
      <c r="K375" s="3">
        <f t="shared" si="35"/>
        <v>1.3554950440228877</v>
      </c>
    </row>
    <row r="376" spans="1:11" x14ac:dyDescent="0.25">
      <c r="A376" s="4" t="s">
        <v>377</v>
      </c>
      <c r="B376" s="4">
        <v>157</v>
      </c>
      <c r="C376">
        <f t="shared" si="30"/>
        <v>0.78500000000000003</v>
      </c>
      <c r="D376">
        <f t="shared" si="31"/>
        <v>333</v>
      </c>
      <c r="E376">
        <v>60</v>
      </c>
      <c r="G376">
        <f t="shared" si="32"/>
        <v>333</v>
      </c>
      <c r="H376" s="2">
        <f t="shared" si="33"/>
        <v>1.9569718309859154</v>
      </c>
      <c r="J376" s="2">
        <f t="shared" si="34"/>
        <v>3.0030030030030028</v>
      </c>
      <c r="K376" s="3">
        <f t="shared" si="35"/>
        <v>1.3427965886655702</v>
      </c>
    </row>
    <row r="377" spans="1:11" x14ac:dyDescent="0.25">
      <c r="A377" s="4" t="s">
        <v>378</v>
      </c>
      <c r="B377" s="4">
        <v>157</v>
      </c>
      <c r="C377">
        <f t="shared" si="30"/>
        <v>0.78500000000000003</v>
      </c>
      <c r="D377">
        <f t="shared" si="31"/>
        <v>333</v>
      </c>
      <c r="E377">
        <v>60</v>
      </c>
      <c r="G377">
        <f t="shared" si="32"/>
        <v>333</v>
      </c>
      <c r="H377" s="2">
        <f t="shared" si="33"/>
        <v>1.9569718309859154</v>
      </c>
      <c r="J377" s="2">
        <f t="shared" si="34"/>
        <v>3.0030030030030028</v>
      </c>
      <c r="K377" s="3">
        <f t="shared" si="35"/>
        <v>1.3427965886655702</v>
      </c>
    </row>
    <row r="378" spans="1:11" x14ac:dyDescent="0.25">
      <c r="A378" s="4" t="s">
        <v>379</v>
      </c>
      <c r="B378" s="4">
        <v>157</v>
      </c>
      <c r="C378">
        <f t="shared" si="30"/>
        <v>0.78500000000000003</v>
      </c>
      <c r="D378">
        <f t="shared" si="31"/>
        <v>333</v>
      </c>
      <c r="E378">
        <v>60</v>
      </c>
      <c r="G378">
        <f t="shared" si="32"/>
        <v>333</v>
      </c>
      <c r="H378" s="2">
        <f t="shared" si="33"/>
        <v>1.9569718309859154</v>
      </c>
      <c r="J378" s="2">
        <f t="shared" si="34"/>
        <v>3.0030030030030028</v>
      </c>
      <c r="K378" s="3">
        <f t="shared" si="35"/>
        <v>1.3427965886655702</v>
      </c>
    </row>
    <row r="379" spans="1:11" x14ac:dyDescent="0.25">
      <c r="A379" s="4" t="s">
        <v>380</v>
      </c>
      <c r="B379" s="4">
        <v>157</v>
      </c>
      <c r="C379">
        <f t="shared" si="30"/>
        <v>0.78500000000000003</v>
      </c>
      <c r="D379">
        <f t="shared" si="31"/>
        <v>333</v>
      </c>
      <c r="E379">
        <v>60</v>
      </c>
      <c r="G379">
        <f t="shared" si="32"/>
        <v>333</v>
      </c>
      <c r="H379" s="2">
        <f t="shared" si="33"/>
        <v>1.9569718309859154</v>
      </c>
      <c r="J379" s="2">
        <f t="shared" si="34"/>
        <v>3.0030030030030028</v>
      </c>
      <c r="K379" s="3">
        <f t="shared" si="35"/>
        <v>1.3427965886655702</v>
      </c>
    </row>
    <row r="380" spans="1:11" x14ac:dyDescent="0.25">
      <c r="A380" s="4" t="s">
        <v>381</v>
      </c>
      <c r="B380" s="4">
        <v>157</v>
      </c>
      <c r="C380">
        <f t="shared" si="30"/>
        <v>0.78500000000000003</v>
      </c>
      <c r="D380">
        <f t="shared" si="31"/>
        <v>333</v>
      </c>
      <c r="E380">
        <v>60</v>
      </c>
      <c r="G380">
        <f t="shared" si="32"/>
        <v>333</v>
      </c>
      <c r="H380" s="2">
        <f t="shared" si="33"/>
        <v>1.9569718309859154</v>
      </c>
      <c r="J380" s="2">
        <f t="shared" si="34"/>
        <v>3.0030030030030028</v>
      </c>
      <c r="K380" s="3">
        <f t="shared" si="35"/>
        <v>1.3427965886655702</v>
      </c>
    </row>
    <row r="381" spans="1:11" x14ac:dyDescent="0.25">
      <c r="A381" s="4" t="s">
        <v>382</v>
      </c>
      <c r="B381" s="4">
        <v>156</v>
      </c>
      <c r="C381">
        <f t="shared" si="30"/>
        <v>0.78</v>
      </c>
      <c r="D381">
        <f t="shared" si="31"/>
        <v>332.9</v>
      </c>
      <c r="E381">
        <v>59.9</v>
      </c>
      <c r="G381">
        <f t="shared" si="32"/>
        <v>332.9</v>
      </c>
      <c r="H381" s="2">
        <f t="shared" si="33"/>
        <v>1.9445070422535211</v>
      </c>
      <c r="J381" s="2">
        <f t="shared" si="34"/>
        <v>3.0039050765995796</v>
      </c>
      <c r="K381" s="3">
        <f t="shared" si="35"/>
        <v>1.3300169924680283</v>
      </c>
    </row>
    <row r="382" spans="1:11" x14ac:dyDescent="0.25">
      <c r="A382" s="4" t="s">
        <v>383</v>
      </c>
      <c r="B382" s="4">
        <v>156</v>
      </c>
      <c r="C382">
        <f t="shared" si="30"/>
        <v>0.78</v>
      </c>
      <c r="D382">
        <f t="shared" si="31"/>
        <v>332.9</v>
      </c>
      <c r="E382">
        <v>59.9</v>
      </c>
      <c r="G382">
        <f t="shared" si="32"/>
        <v>332.9</v>
      </c>
      <c r="H382" s="2">
        <f t="shared" si="33"/>
        <v>1.9445070422535211</v>
      </c>
      <c r="J382" s="2">
        <f t="shared" si="34"/>
        <v>3.0039050765995796</v>
      </c>
      <c r="K382" s="3">
        <f t="shared" si="35"/>
        <v>1.3300169924680283</v>
      </c>
    </row>
    <row r="383" spans="1:11" x14ac:dyDescent="0.25">
      <c r="A383" s="4" t="s">
        <v>384</v>
      </c>
      <c r="B383" s="4">
        <v>156</v>
      </c>
      <c r="C383">
        <f t="shared" si="30"/>
        <v>0.78</v>
      </c>
      <c r="D383">
        <f t="shared" si="31"/>
        <v>332.9</v>
      </c>
      <c r="E383">
        <v>59.9</v>
      </c>
      <c r="G383">
        <f t="shared" si="32"/>
        <v>332.9</v>
      </c>
      <c r="H383" s="2">
        <f t="shared" si="33"/>
        <v>1.9445070422535211</v>
      </c>
      <c r="J383" s="2">
        <f t="shared" si="34"/>
        <v>3.0039050765995796</v>
      </c>
      <c r="K383" s="3">
        <f t="shared" si="35"/>
        <v>1.3300169924680283</v>
      </c>
    </row>
    <row r="384" spans="1:11" x14ac:dyDescent="0.25">
      <c r="A384" s="4" t="s">
        <v>385</v>
      </c>
      <c r="B384" s="4">
        <v>156</v>
      </c>
      <c r="C384">
        <f t="shared" si="30"/>
        <v>0.78</v>
      </c>
      <c r="D384">
        <f t="shared" si="31"/>
        <v>332.5</v>
      </c>
      <c r="E384">
        <v>59.5</v>
      </c>
      <c r="G384">
        <f t="shared" si="32"/>
        <v>332.5</v>
      </c>
      <c r="H384" s="2">
        <f t="shared" si="33"/>
        <v>1.9445070422535211</v>
      </c>
      <c r="J384" s="2">
        <f t="shared" si="34"/>
        <v>3.007518796992481</v>
      </c>
      <c r="K384" s="3">
        <f t="shared" si="35"/>
        <v>1.3300169924680283</v>
      </c>
    </row>
    <row r="385" spans="1:11" x14ac:dyDescent="0.25">
      <c r="A385" s="4" t="s">
        <v>386</v>
      </c>
      <c r="B385" s="4">
        <v>155</v>
      </c>
      <c r="C385">
        <f t="shared" si="30"/>
        <v>0.77500000000000002</v>
      </c>
      <c r="D385">
        <f t="shared" si="31"/>
        <v>332.5</v>
      </c>
      <c r="E385">
        <v>59.5</v>
      </c>
      <c r="G385">
        <f t="shared" si="32"/>
        <v>332.5</v>
      </c>
      <c r="H385" s="2">
        <f t="shared" si="33"/>
        <v>1.932042253521127</v>
      </c>
      <c r="J385" s="2">
        <f t="shared" si="34"/>
        <v>3.007518796992481</v>
      </c>
      <c r="K385" s="3">
        <f t="shared" si="35"/>
        <v>1.3171552118074477</v>
      </c>
    </row>
    <row r="386" spans="1:11" x14ac:dyDescent="0.25">
      <c r="A386" s="4" t="s">
        <v>387</v>
      </c>
      <c r="B386" s="4">
        <v>155</v>
      </c>
      <c r="C386">
        <f t="shared" si="30"/>
        <v>0.77500000000000002</v>
      </c>
      <c r="D386">
        <f t="shared" si="31"/>
        <v>332.5</v>
      </c>
      <c r="E386">
        <v>59.5</v>
      </c>
      <c r="G386">
        <f t="shared" si="32"/>
        <v>332.5</v>
      </c>
      <c r="H386" s="2">
        <f t="shared" si="33"/>
        <v>1.932042253521127</v>
      </c>
      <c r="J386" s="2">
        <f t="shared" si="34"/>
        <v>3.007518796992481</v>
      </c>
      <c r="K386" s="3">
        <f t="shared" si="35"/>
        <v>1.3171552118074477</v>
      </c>
    </row>
    <row r="387" spans="1:11" x14ac:dyDescent="0.25">
      <c r="A387" s="4" t="s">
        <v>388</v>
      </c>
      <c r="B387" s="4">
        <v>153</v>
      </c>
      <c r="C387">
        <f t="shared" si="30"/>
        <v>0.76500000000000001</v>
      </c>
      <c r="D387">
        <f t="shared" si="31"/>
        <v>332.3</v>
      </c>
      <c r="E387">
        <v>59.3</v>
      </c>
      <c r="G387">
        <f t="shared" si="32"/>
        <v>332.3</v>
      </c>
      <c r="H387" s="2">
        <f t="shared" si="33"/>
        <v>1.9071126760563379</v>
      </c>
      <c r="J387" s="2">
        <f t="shared" si="34"/>
        <v>3.0093289196509176</v>
      </c>
      <c r="K387" s="3">
        <f t="shared" si="35"/>
        <v>1.2911808207538249</v>
      </c>
    </row>
    <row r="388" spans="1:11" x14ac:dyDescent="0.25">
      <c r="A388" s="4" t="s">
        <v>389</v>
      </c>
      <c r="B388" s="4">
        <v>155</v>
      </c>
      <c r="C388">
        <f t="shared" si="30"/>
        <v>0.77500000000000002</v>
      </c>
      <c r="D388">
        <f t="shared" si="31"/>
        <v>332.3</v>
      </c>
      <c r="E388">
        <v>59.3</v>
      </c>
      <c r="G388">
        <f t="shared" si="32"/>
        <v>332.3</v>
      </c>
      <c r="H388" s="2">
        <f t="shared" si="33"/>
        <v>1.932042253521127</v>
      </c>
      <c r="J388" s="2">
        <f t="shared" si="34"/>
        <v>3.0093289196509176</v>
      </c>
      <c r="K388" s="3">
        <f t="shared" si="35"/>
        <v>1.3171552118074477</v>
      </c>
    </row>
    <row r="389" spans="1:11" x14ac:dyDescent="0.25">
      <c r="A389" s="4" t="s">
        <v>390</v>
      </c>
      <c r="B389" s="4">
        <v>155</v>
      </c>
      <c r="C389">
        <f t="shared" si="30"/>
        <v>0.77500000000000002</v>
      </c>
      <c r="D389">
        <f t="shared" si="31"/>
        <v>332.3</v>
      </c>
      <c r="E389">
        <v>59.3</v>
      </c>
      <c r="G389">
        <f t="shared" si="32"/>
        <v>332.3</v>
      </c>
      <c r="H389" s="2">
        <f t="shared" si="33"/>
        <v>1.932042253521127</v>
      </c>
      <c r="J389" s="2">
        <f t="shared" si="34"/>
        <v>3.0093289196509176</v>
      </c>
      <c r="K389" s="3">
        <f t="shared" si="35"/>
        <v>1.3171552118074477</v>
      </c>
    </row>
    <row r="390" spans="1:11" x14ac:dyDescent="0.25">
      <c r="A390" s="4" t="s">
        <v>391</v>
      </c>
      <c r="B390" s="4">
        <v>154</v>
      </c>
      <c r="C390">
        <f t="shared" si="30"/>
        <v>0.77</v>
      </c>
      <c r="D390">
        <f t="shared" si="31"/>
        <v>332.3</v>
      </c>
      <c r="E390">
        <v>59.3</v>
      </c>
      <c r="G390">
        <f t="shared" si="32"/>
        <v>332.3</v>
      </c>
      <c r="H390" s="2">
        <f t="shared" si="33"/>
        <v>1.9195774647887323</v>
      </c>
      <c r="J390" s="2">
        <f t="shared" si="34"/>
        <v>3.0093289196509176</v>
      </c>
      <c r="K390" s="3">
        <f t="shared" si="35"/>
        <v>1.3042101827962123</v>
      </c>
    </row>
    <row r="391" spans="1:11" x14ac:dyDescent="0.25">
      <c r="A391" s="4" t="s">
        <v>392</v>
      </c>
      <c r="B391" s="4">
        <v>154</v>
      </c>
      <c r="C391">
        <f t="shared" si="30"/>
        <v>0.77</v>
      </c>
      <c r="D391">
        <f t="shared" si="31"/>
        <v>332.3</v>
      </c>
      <c r="E391">
        <v>59.3</v>
      </c>
      <c r="G391">
        <f t="shared" si="32"/>
        <v>332.3</v>
      </c>
      <c r="H391" s="2">
        <f t="shared" si="33"/>
        <v>1.9195774647887323</v>
      </c>
      <c r="J391" s="2">
        <f t="shared" si="34"/>
        <v>3.0093289196509176</v>
      </c>
      <c r="K391" s="3">
        <f t="shared" si="35"/>
        <v>1.3042101827962123</v>
      </c>
    </row>
    <row r="392" spans="1:11" x14ac:dyDescent="0.25">
      <c r="A392" s="4" t="s">
        <v>393</v>
      </c>
      <c r="B392" s="4">
        <v>155</v>
      </c>
      <c r="C392">
        <f t="shared" si="30"/>
        <v>0.77500000000000002</v>
      </c>
      <c r="D392">
        <f t="shared" si="31"/>
        <v>332.3</v>
      </c>
      <c r="E392">
        <v>59.3</v>
      </c>
      <c r="G392">
        <f t="shared" si="32"/>
        <v>332.3</v>
      </c>
      <c r="H392" s="2">
        <f t="shared" si="33"/>
        <v>1.932042253521127</v>
      </c>
      <c r="J392" s="2">
        <f t="shared" si="34"/>
        <v>3.0093289196509176</v>
      </c>
      <c r="K392" s="3">
        <f t="shared" si="35"/>
        <v>1.3171552118074477</v>
      </c>
    </row>
    <row r="393" spans="1:11" x14ac:dyDescent="0.25">
      <c r="A393" s="4" t="s">
        <v>394</v>
      </c>
      <c r="B393" s="4">
        <v>156</v>
      </c>
      <c r="C393">
        <f t="shared" si="30"/>
        <v>0.78</v>
      </c>
      <c r="D393">
        <f t="shared" si="31"/>
        <v>332.3</v>
      </c>
      <c r="E393">
        <v>59.3</v>
      </c>
      <c r="G393">
        <f t="shared" si="32"/>
        <v>332.3</v>
      </c>
      <c r="H393" s="2">
        <f t="shared" si="33"/>
        <v>1.9445070422535211</v>
      </c>
      <c r="J393" s="2">
        <f t="shared" si="34"/>
        <v>3.0093289196509176</v>
      </c>
      <c r="K393" s="3">
        <f t="shared" si="35"/>
        <v>1.3300169924680283</v>
      </c>
    </row>
    <row r="394" spans="1:11" x14ac:dyDescent="0.25">
      <c r="A394" s="4" t="s">
        <v>395</v>
      </c>
      <c r="B394" s="4">
        <v>153</v>
      </c>
      <c r="C394">
        <f t="shared" si="30"/>
        <v>0.76500000000000001</v>
      </c>
      <c r="D394">
        <f t="shared" si="31"/>
        <v>332.3</v>
      </c>
      <c r="E394">
        <v>59.3</v>
      </c>
      <c r="G394">
        <f t="shared" si="32"/>
        <v>332.3</v>
      </c>
      <c r="H394" s="2">
        <f t="shared" si="33"/>
        <v>1.9071126760563379</v>
      </c>
      <c r="J394" s="2">
        <f t="shared" si="34"/>
        <v>3.0093289196509176</v>
      </c>
      <c r="K394" s="3">
        <f t="shared" si="35"/>
        <v>1.2911808207538249</v>
      </c>
    </row>
    <row r="395" spans="1:11" x14ac:dyDescent="0.25">
      <c r="A395" s="4" t="s">
        <v>396</v>
      </c>
      <c r="B395" s="4">
        <v>154</v>
      </c>
      <c r="C395">
        <f t="shared" ref="C395:C458" si="36">B395/200</f>
        <v>0.77</v>
      </c>
      <c r="D395">
        <f t="shared" ref="D395:D458" si="37">273+E395</f>
        <v>332.3</v>
      </c>
      <c r="E395">
        <v>59.3</v>
      </c>
      <c r="G395">
        <f t="shared" ref="G395:G458" si="38">D395</f>
        <v>332.3</v>
      </c>
      <c r="H395" s="2">
        <f t="shared" ref="H395:H458" si="39">1.77*B395/142</f>
        <v>1.9195774647887323</v>
      </c>
      <c r="J395" s="2">
        <f t="shared" ref="J395:J458" si="40">1000/G395</f>
        <v>3.0093289196509176</v>
      </c>
      <c r="K395" s="3">
        <f t="shared" ref="K395:K458" si="41">LN(H395*H395)</f>
        <v>1.3042101827962123</v>
      </c>
    </row>
    <row r="396" spans="1:11" x14ac:dyDescent="0.25">
      <c r="A396" s="4" t="s">
        <v>397</v>
      </c>
      <c r="B396" s="4">
        <v>153</v>
      </c>
      <c r="C396">
        <f t="shared" si="36"/>
        <v>0.76500000000000001</v>
      </c>
      <c r="D396">
        <f t="shared" si="37"/>
        <v>332.3</v>
      </c>
      <c r="E396">
        <v>59.3</v>
      </c>
      <c r="G396">
        <f t="shared" si="38"/>
        <v>332.3</v>
      </c>
      <c r="H396" s="2">
        <f t="shared" si="39"/>
        <v>1.9071126760563379</v>
      </c>
      <c r="J396" s="2">
        <f t="shared" si="40"/>
        <v>3.0093289196509176</v>
      </c>
      <c r="K396" s="3">
        <f t="shared" si="41"/>
        <v>1.2911808207538249</v>
      </c>
    </row>
    <row r="397" spans="1:11" x14ac:dyDescent="0.25">
      <c r="A397" s="4" t="s">
        <v>398</v>
      </c>
      <c r="B397" s="4">
        <v>155</v>
      </c>
      <c r="C397">
        <f t="shared" si="36"/>
        <v>0.77500000000000002</v>
      </c>
      <c r="D397">
        <f t="shared" si="37"/>
        <v>332.3</v>
      </c>
      <c r="E397">
        <v>59.3</v>
      </c>
      <c r="G397">
        <f t="shared" si="38"/>
        <v>332.3</v>
      </c>
      <c r="H397" s="2">
        <f t="shared" si="39"/>
        <v>1.932042253521127</v>
      </c>
      <c r="J397" s="2">
        <f t="shared" si="40"/>
        <v>3.0093289196509176</v>
      </c>
      <c r="K397" s="3">
        <f t="shared" si="41"/>
        <v>1.3171552118074477</v>
      </c>
    </row>
    <row r="398" spans="1:11" x14ac:dyDescent="0.25">
      <c r="A398" s="4" t="s">
        <v>399</v>
      </c>
      <c r="B398" s="4">
        <v>153</v>
      </c>
      <c r="C398">
        <f t="shared" si="36"/>
        <v>0.76500000000000001</v>
      </c>
      <c r="D398">
        <f t="shared" si="37"/>
        <v>332.3</v>
      </c>
      <c r="E398">
        <v>59.3</v>
      </c>
      <c r="G398">
        <f t="shared" si="38"/>
        <v>332.3</v>
      </c>
      <c r="H398" s="2">
        <f t="shared" si="39"/>
        <v>1.9071126760563379</v>
      </c>
      <c r="J398" s="2">
        <f t="shared" si="40"/>
        <v>3.0093289196509176</v>
      </c>
      <c r="K398" s="3">
        <f t="shared" si="41"/>
        <v>1.2911808207538249</v>
      </c>
    </row>
    <row r="399" spans="1:11" x14ac:dyDescent="0.25">
      <c r="A399" s="4" t="s">
        <v>400</v>
      </c>
      <c r="B399" s="4">
        <v>154</v>
      </c>
      <c r="C399">
        <f t="shared" si="36"/>
        <v>0.77</v>
      </c>
      <c r="D399">
        <f t="shared" si="37"/>
        <v>332.3</v>
      </c>
      <c r="E399">
        <v>59.3</v>
      </c>
      <c r="G399">
        <f t="shared" si="38"/>
        <v>332.3</v>
      </c>
      <c r="H399" s="2">
        <f t="shared" si="39"/>
        <v>1.9195774647887323</v>
      </c>
      <c r="J399" s="2">
        <f t="shared" si="40"/>
        <v>3.0093289196509176</v>
      </c>
      <c r="K399" s="3">
        <f t="shared" si="41"/>
        <v>1.3042101827962123</v>
      </c>
    </row>
    <row r="400" spans="1:11" x14ac:dyDescent="0.25">
      <c r="A400" s="4" t="s">
        <v>401</v>
      </c>
      <c r="B400" s="4">
        <v>154</v>
      </c>
      <c r="C400">
        <f t="shared" si="36"/>
        <v>0.77</v>
      </c>
      <c r="D400">
        <f t="shared" si="37"/>
        <v>332.3</v>
      </c>
      <c r="E400">
        <v>59.3</v>
      </c>
      <c r="G400">
        <f t="shared" si="38"/>
        <v>332.3</v>
      </c>
      <c r="H400" s="2">
        <f t="shared" si="39"/>
        <v>1.9195774647887323</v>
      </c>
      <c r="J400" s="2">
        <f t="shared" si="40"/>
        <v>3.0093289196509176</v>
      </c>
      <c r="K400" s="3">
        <f t="shared" si="41"/>
        <v>1.3042101827962123</v>
      </c>
    </row>
    <row r="401" spans="1:11" x14ac:dyDescent="0.25">
      <c r="A401" s="4" t="s">
        <v>402</v>
      </c>
      <c r="B401" s="4">
        <v>153</v>
      </c>
      <c r="C401">
        <f t="shared" si="36"/>
        <v>0.76500000000000001</v>
      </c>
      <c r="D401">
        <f t="shared" si="37"/>
        <v>332.3</v>
      </c>
      <c r="E401">
        <v>59.3</v>
      </c>
      <c r="G401">
        <f t="shared" si="38"/>
        <v>332.3</v>
      </c>
      <c r="H401" s="2">
        <f t="shared" si="39"/>
        <v>1.9071126760563379</v>
      </c>
      <c r="J401" s="2">
        <f t="shared" si="40"/>
        <v>3.0093289196509176</v>
      </c>
      <c r="K401" s="3">
        <f t="shared" si="41"/>
        <v>1.2911808207538249</v>
      </c>
    </row>
    <row r="402" spans="1:11" x14ac:dyDescent="0.25">
      <c r="A402" s="4" t="s">
        <v>403</v>
      </c>
      <c r="B402" s="4">
        <v>153</v>
      </c>
      <c r="C402">
        <f t="shared" si="36"/>
        <v>0.76500000000000001</v>
      </c>
      <c r="D402">
        <f t="shared" si="37"/>
        <v>332.3</v>
      </c>
      <c r="E402">
        <v>59.3</v>
      </c>
      <c r="G402">
        <f t="shared" si="38"/>
        <v>332.3</v>
      </c>
      <c r="H402" s="2">
        <f t="shared" si="39"/>
        <v>1.9071126760563379</v>
      </c>
      <c r="J402" s="2">
        <f t="shared" si="40"/>
        <v>3.0093289196509176</v>
      </c>
      <c r="K402" s="3">
        <f t="shared" si="41"/>
        <v>1.2911808207538249</v>
      </c>
    </row>
    <row r="403" spans="1:11" x14ac:dyDescent="0.25">
      <c r="A403" s="4" t="s">
        <v>404</v>
      </c>
      <c r="B403" s="4">
        <v>152</v>
      </c>
      <c r="C403">
        <f t="shared" si="36"/>
        <v>0.76</v>
      </c>
      <c r="D403">
        <f t="shared" si="37"/>
        <v>332.1</v>
      </c>
      <c r="E403">
        <v>59.1</v>
      </c>
      <c r="G403">
        <f t="shared" si="38"/>
        <v>332.1</v>
      </c>
      <c r="H403" s="2">
        <f t="shared" si="39"/>
        <v>1.8946478873239438</v>
      </c>
      <c r="J403" s="2">
        <f t="shared" si="40"/>
        <v>3.011141222523336</v>
      </c>
      <c r="K403" s="3">
        <f t="shared" si="41"/>
        <v>1.278066019661507</v>
      </c>
    </row>
    <row r="404" spans="1:11" x14ac:dyDescent="0.25">
      <c r="A404" s="4" t="s">
        <v>405</v>
      </c>
      <c r="B404" s="4">
        <v>152</v>
      </c>
      <c r="C404">
        <f t="shared" si="36"/>
        <v>0.76</v>
      </c>
      <c r="D404">
        <f t="shared" si="37"/>
        <v>332.1</v>
      </c>
      <c r="E404">
        <v>59.1</v>
      </c>
      <c r="G404">
        <f t="shared" si="38"/>
        <v>332.1</v>
      </c>
      <c r="H404" s="2">
        <f t="shared" si="39"/>
        <v>1.8946478873239438</v>
      </c>
      <c r="J404" s="2">
        <f t="shared" si="40"/>
        <v>3.011141222523336</v>
      </c>
      <c r="K404" s="3">
        <f t="shared" si="41"/>
        <v>1.278066019661507</v>
      </c>
    </row>
    <row r="405" spans="1:11" x14ac:dyDescent="0.25">
      <c r="A405" s="4" t="s">
        <v>406</v>
      </c>
      <c r="B405" s="4">
        <v>151</v>
      </c>
      <c r="C405">
        <f t="shared" si="36"/>
        <v>0.755</v>
      </c>
      <c r="D405">
        <f t="shared" si="37"/>
        <v>332.1</v>
      </c>
      <c r="E405">
        <v>59.1</v>
      </c>
      <c r="G405">
        <f t="shared" si="38"/>
        <v>332.1</v>
      </c>
      <c r="H405" s="2">
        <f t="shared" si="39"/>
        <v>1.8821830985915491</v>
      </c>
      <c r="J405" s="2">
        <f t="shared" si="40"/>
        <v>3.011141222523336</v>
      </c>
      <c r="K405" s="3">
        <f t="shared" si="41"/>
        <v>1.2648646515988025</v>
      </c>
    </row>
    <row r="406" spans="1:11" x14ac:dyDescent="0.25">
      <c r="A406" s="4" t="s">
        <v>407</v>
      </c>
      <c r="B406" s="4">
        <v>151</v>
      </c>
      <c r="C406">
        <f t="shared" si="36"/>
        <v>0.755</v>
      </c>
      <c r="D406">
        <f t="shared" si="37"/>
        <v>331.9</v>
      </c>
      <c r="E406">
        <v>58.9</v>
      </c>
      <c r="G406">
        <f t="shared" si="38"/>
        <v>331.9</v>
      </c>
      <c r="H406" s="2">
        <f t="shared" si="39"/>
        <v>1.8821830985915491</v>
      </c>
      <c r="J406" s="2">
        <f t="shared" si="40"/>
        <v>3.0129557095510697</v>
      </c>
      <c r="K406" s="3">
        <f t="shared" si="41"/>
        <v>1.2648646515988025</v>
      </c>
    </row>
    <row r="407" spans="1:11" x14ac:dyDescent="0.25">
      <c r="A407" s="4" t="s">
        <v>408</v>
      </c>
      <c r="B407" s="4">
        <v>152</v>
      </c>
      <c r="C407">
        <f t="shared" si="36"/>
        <v>0.76</v>
      </c>
      <c r="D407">
        <f t="shared" si="37"/>
        <v>331.9</v>
      </c>
      <c r="E407">
        <v>58.9</v>
      </c>
      <c r="G407">
        <f t="shared" si="38"/>
        <v>331.9</v>
      </c>
      <c r="H407" s="2">
        <f t="shared" si="39"/>
        <v>1.8946478873239438</v>
      </c>
      <c r="J407" s="2">
        <f t="shared" si="40"/>
        <v>3.0129557095510697</v>
      </c>
      <c r="K407" s="3">
        <f t="shared" si="41"/>
        <v>1.278066019661507</v>
      </c>
    </row>
    <row r="408" spans="1:11" x14ac:dyDescent="0.25">
      <c r="A408" s="4" t="s">
        <v>409</v>
      </c>
      <c r="B408" s="4">
        <v>152</v>
      </c>
      <c r="C408">
        <f t="shared" si="36"/>
        <v>0.76</v>
      </c>
      <c r="D408">
        <f t="shared" si="37"/>
        <v>331.9</v>
      </c>
      <c r="E408">
        <v>58.9</v>
      </c>
      <c r="G408">
        <f t="shared" si="38"/>
        <v>331.9</v>
      </c>
      <c r="H408" s="2">
        <f t="shared" si="39"/>
        <v>1.8946478873239438</v>
      </c>
      <c r="J408" s="2">
        <f t="shared" si="40"/>
        <v>3.0129557095510697</v>
      </c>
      <c r="K408" s="3">
        <f t="shared" si="41"/>
        <v>1.278066019661507</v>
      </c>
    </row>
    <row r="409" spans="1:11" x14ac:dyDescent="0.25">
      <c r="A409" s="4" t="s">
        <v>410</v>
      </c>
      <c r="B409" s="4">
        <v>152</v>
      </c>
      <c r="C409">
        <f t="shared" si="36"/>
        <v>0.76</v>
      </c>
      <c r="D409">
        <f t="shared" si="37"/>
        <v>331.9</v>
      </c>
      <c r="E409">
        <v>58.9</v>
      </c>
      <c r="G409">
        <f t="shared" si="38"/>
        <v>331.9</v>
      </c>
      <c r="H409" s="2">
        <f t="shared" si="39"/>
        <v>1.8946478873239438</v>
      </c>
      <c r="J409" s="2">
        <f t="shared" si="40"/>
        <v>3.0129557095510697</v>
      </c>
      <c r="K409" s="3">
        <f t="shared" si="41"/>
        <v>1.278066019661507</v>
      </c>
    </row>
    <row r="410" spans="1:11" x14ac:dyDescent="0.25">
      <c r="A410" s="4" t="s">
        <v>411</v>
      </c>
      <c r="B410" s="4">
        <v>151</v>
      </c>
      <c r="C410">
        <f t="shared" si="36"/>
        <v>0.755</v>
      </c>
      <c r="D410">
        <f t="shared" si="37"/>
        <v>331.9</v>
      </c>
      <c r="E410">
        <v>58.9</v>
      </c>
      <c r="G410">
        <f t="shared" si="38"/>
        <v>331.9</v>
      </c>
      <c r="H410" s="2">
        <f t="shared" si="39"/>
        <v>1.8821830985915491</v>
      </c>
      <c r="J410" s="2">
        <f t="shared" si="40"/>
        <v>3.0129557095510697</v>
      </c>
      <c r="K410" s="3">
        <f t="shared" si="41"/>
        <v>1.2648646515988025</v>
      </c>
    </row>
    <row r="411" spans="1:11" x14ac:dyDescent="0.25">
      <c r="A411" s="4" t="s">
        <v>412</v>
      </c>
      <c r="B411" s="4">
        <v>151</v>
      </c>
      <c r="C411">
        <f t="shared" si="36"/>
        <v>0.755</v>
      </c>
      <c r="D411">
        <f t="shared" si="37"/>
        <v>331.9</v>
      </c>
      <c r="E411">
        <v>58.9</v>
      </c>
      <c r="G411">
        <f t="shared" si="38"/>
        <v>331.9</v>
      </c>
      <c r="H411" s="2">
        <f t="shared" si="39"/>
        <v>1.8821830985915491</v>
      </c>
      <c r="J411" s="2">
        <f t="shared" si="40"/>
        <v>3.0129557095510697</v>
      </c>
      <c r="K411" s="3">
        <f t="shared" si="41"/>
        <v>1.2648646515988025</v>
      </c>
    </row>
    <row r="412" spans="1:11" x14ac:dyDescent="0.25">
      <c r="A412" s="4" t="s">
        <v>413</v>
      </c>
      <c r="B412" s="4">
        <v>150</v>
      </c>
      <c r="C412">
        <f t="shared" si="36"/>
        <v>0.75</v>
      </c>
      <c r="D412">
        <f t="shared" si="37"/>
        <v>331.9</v>
      </c>
      <c r="E412">
        <v>58.9</v>
      </c>
      <c r="G412">
        <f t="shared" si="38"/>
        <v>331.9</v>
      </c>
      <c r="H412" s="2">
        <f t="shared" si="39"/>
        <v>1.869718309859155</v>
      </c>
      <c r="J412" s="2">
        <f t="shared" si="40"/>
        <v>3.0129557095510697</v>
      </c>
      <c r="K412" s="3">
        <f t="shared" si="41"/>
        <v>1.2515755661614656</v>
      </c>
    </row>
    <row r="413" spans="1:11" x14ac:dyDescent="0.25">
      <c r="A413" s="4" t="s">
        <v>414</v>
      </c>
      <c r="B413" s="4">
        <v>152</v>
      </c>
      <c r="C413">
        <f t="shared" si="36"/>
        <v>0.76</v>
      </c>
      <c r="D413">
        <f t="shared" si="37"/>
        <v>332</v>
      </c>
      <c r="E413">
        <v>59</v>
      </c>
      <c r="G413">
        <f t="shared" si="38"/>
        <v>332</v>
      </c>
      <c r="H413" s="2">
        <f t="shared" si="39"/>
        <v>1.8946478873239438</v>
      </c>
      <c r="J413" s="2">
        <f t="shared" si="40"/>
        <v>3.0120481927710845</v>
      </c>
      <c r="K413" s="3">
        <f t="shared" si="41"/>
        <v>1.278066019661507</v>
      </c>
    </row>
    <row r="414" spans="1:11" x14ac:dyDescent="0.25">
      <c r="A414" s="4" t="s">
        <v>415</v>
      </c>
      <c r="B414" s="4">
        <v>151</v>
      </c>
      <c r="C414">
        <f t="shared" si="36"/>
        <v>0.755</v>
      </c>
      <c r="D414">
        <f t="shared" si="37"/>
        <v>332</v>
      </c>
      <c r="E414">
        <v>59</v>
      </c>
      <c r="G414">
        <f t="shared" si="38"/>
        <v>332</v>
      </c>
      <c r="H414" s="2">
        <f t="shared" si="39"/>
        <v>1.8821830985915491</v>
      </c>
      <c r="J414" s="2">
        <f t="shared" si="40"/>
        <v>3.0120481927710845</v>
      </c>
      <c r="K414" s="3">
        <f t="shared" si="41"/>
        <v>1.2648646515988025</v>
      </c>
    </row>
    <row r="415" spans="1:11" x14ac:dyDescent="0.25">
      <c r="A415" s="4" t="s">
        <v>416</v>
      </c>
      <c r="B415" s="4">
        <v>151</v>
      </c>
      <c r="C415">
        <f t="shared" si="36"/>
        <v>0.755</v>
      </c>
      <c r="D415">
        <f t="shared" si="37"/>
        <v>332</v>
      </c>
      <c r="E415">
        <v>59</v>
      </c>
      <c r="G415">
        <f t="shared" si="38"/>
        <v>332</v>
      </c>
      <c r="H415" s="2">
        <f t="shared" si="39"/>
        <v>1.8821830985915491</v>
      </c>
      <c r="J415" s="2">
        <f t="shared" si="40"/>
        <v>3.0120481927710845</v>
      </c>
      <c r="K415" s="3">
        <f t="shared" si="41"/>
        <v>1.2648646515988025</v>
      </c>
    </row>
    <row r="416" spans="1:11" x14ac:dyDescent="0.25">
      <c r="A416" s="4" t="s">
        <v>417</v>
      </c>
      <c r="B416" s="4">
        <v>151</v>
      </c>
      <c r="C416">
        <f t="shared" si="36"/>
        <v>0.755</v>
      </c>
      <c r="D416">
        <f t="shared" si="37"/>
        <v>332</v>
      </c>
      <c r="E416">
        <v>59</v>
      </c>
      <c r="G416">
        <f t="shared" si="38"/>
        <v>332</v>
      </c>
      <c r="H416" s="2">
        <f t="shared" si="39"/>
        <v>1.8821830985915491</v>
      </c>
      <c r="J416" s="2">
        <f t="shared" si="40"/>
        <v>3.0120481927710845</v>
      </c>
      <c r="K416" s="3">
        <f t="shared" si="41"/>
        <v>1.2648646515988025</v>
      </c>
    </row>
    <row r="417" spans="1:11" x14ac:dyDescent="0.25">
      <c r="A417" s="4" t="s">
        <v>418</v>
      </c>
      <c r="B417" s="4">
        <v>151</v>
      </c>
      <c r="C417">
        <f t="shared" si="36"/>
        <v>0.755</v>
      </c>
      <c r="D417">
        <f t="shared" si="37"/>
        <v>332</v>
      </c>
      <c r="E417">
        <v>59</v>
      </c>
      <c r="G417">
        <f t="shared" si="38"/>
        <v>332</v>
      </c>
      <c r="H417" s="2">
        <f t="shared" si="39"/>
        <v>1.8821830985915491</v>
      </c>
      <c r="J417" s="2">
        <f t="shared" si="40"/>
        <v>3.0120481927710845</v>
      </c>
      <c r="K417" s="3">
        <f t="shared" si="41"/>
        <v>1.2648646515988025</v>
      </c>
    </row>
    <row r="418" spans="1:11" x14ac:dyDescent="0.25">
      <c r="A418" s="4" t="s">
        <v>419</v>
      </c>
      <c r="B418" s="4">
        <v>151</v>
      </c>
      <c r="C418">
        <f t="shared" si="36"/>
        <v>0.755</v>
      </c>
      <c r="D418">
        <f t="shared" si="37"/>
        <v>332</v>
      </c>
      <c r="E418">
        <v>59</v>
      </c>
      <c r="G418">
        <f t="shared" si="38"/>
        <v>332</v>
      </c>
      <c r="H418" s="2">
        <f t="shared" si="39"/>
        <v>1.8821830985915491</v>
      </c>
      <c r="J418" s="2">
        <f t="shared" si="40"/>
        <v>3.0120481927710845</v>
      </c>
      <c r="K418" s="3">
        <f t="shared" si="41"/>
        <v>1.2648646515988025</v>
      </c>
    </row>
    <row r="419" spans="1:11" x14ac:dyDescent="0.25">
      <c r="A419" s="4" t="s">
        <v>420</v>
      </c>
      <c r="B419" s="4">
        <v>150</v>
      </c>
      <c r="C419">
        <f t="shared" si="36"/>
        <v>0.75</v>
      </c>
      <c r="D419">
        <f t="shared" si="37"/>
        <v>331.9</v>
      </c>
      <c r="E419">
        <v>58.9</v>
      </c>
      <c r="G419">
        <f t="shared" si="38"/>
        <v>331.9</v>
      </c>
      <c r="H419" s="2">
        <f t="shared" si="39"/>
        <v>1.869718309859155</v>
      </c>
      <c r="J419" s="2">
        <f t="shared" si="40"/>
        <v>3.0129557095510697</v>
      </c>
      <c r="K419" s="3">
        <f t="shared" si="41"/>
        <v>1.2515755661614656</v>
      </c>
    </row>
    <row r="420" spans="1:11" x14ac:dyDescent="0.25">
      <c r="A420" s="4" t="s">
        <v>421</v>
      </c>
      <c r="B420" s="4">
        <v>148</v>
      </c>
      <c r="C420">
        <f t="shared" si="36"/>
        <v>0.74</v>
      </c>
      <c r="D420">
        <f t="shared" si="37"/>
        <v>331.9</v>
      </c>
      <c r="E420">
        <v>58.9</v>
      </c>
      <c r="G420">
        <f t="shared" si="38"/>
        <v>331.9</v>
      </c>
      <c r="H420" s="2">
        <f t="shared" si="39"/>
        <v>1.8447887323943661</v>
      </c>
      <c r="J420" s="2">
        <f t="shared" si="40"/>
        <v>3.0129557095510697</v>
      </c>
      <c r="K420" s="3">
        <f t="shared" si="41"/>
        <v>1.2247295254971842</v>
      </c>
    </row>
    <row r="421" spans="1:11" x14ac:dyDescent="0.25">
      <c r="A421" s="4" t="s">
        <v>422</v>
      </c>
      <c r="B421" s="4">
        <v>151</v>
      </c>
      <c r="C421">
        <f t="shared" si="36"/>
        <v>0.755</v>
      </c>
      <c r="D421">
        <f t="shared" si="37"/>
        <v>331.9</v>
      </c>
      <c r="E421">
        <v>58.9</v>
      </c>
      <c r="G421">
        <f t="shared" si="38"/>
        <v>331.9</v>
      </c>
      <c r="H421" s="2">
        <f t="shared" si="39"/>
        <v>1.8821830985915491</v>
      </c>
      <c r="J421" s="2">
        <f t="shared" si="40"/>
        <v>3.0129557095510697</v>
      </c>
      <c r="K421" s="3">
        <f t="shared" si="41"/>
        <v>1.2648646515988025</v>
      </c>
    </row>
    <row r="422" spans="1:11" x14ac:dyDescent="0.25">
      <c r="A422" s="4" t="s">
        <v>423</v>
      </c>
      <c r="B422" s="4">
        <v>150</v>
      </c>
      <c r="C422">
        <f t="shared" si="36"/>
        <v>0.75</v>
      </c>
      <c r="D422">
        <f t="shared" si="37"/>
        <v>331.8</v>
      </c>
      <c r="E422">
        <v>58.8</v>
      </c>
      <c r="G422">
        <f t="shared" si="38"/>
        <v>331.8</v>
      </c>
      <c r="H422" s="2">
        <f t="shared" si="39"/>
        <v>1.869718309859155</v>
      </c>
      <c r="J422" s="2">
        <f t="shared" si="40"/>
        <v>3.013863773357444</v>
      </c>
      <c r="K422" s="3">
        <f t="shared" si="41"/>
        <v>1.2515755661614656</v>
      </c>
    </row>
    <row r="423" spans="1:11" x14ac:dyDescent="0.25">
      <c r="A423" s="4" t="s">
        <v>424</v>
      </c>
      <c r="B423" s="4">
        <v>149</v>
      </c>
      <c r="C423">
        <f t="shared" si="36"/>
        <v>0.745</v>
      </c>
      <c r="D423">
        <f t="shared" si="37"/>
        <v>331.8</v>
      </c>
      <c r="E423">
        <v>58.8</v>
      </c>
      <c r="G423">
        <f t="shared" si="38"/>
        <v>331.8</v>
      </c>
      <c r="H423" s="2">
        <f t="shared" si="39"/>
        <v>1.8572535211267607</v>
      </c>
      <c r="J423" s="2">
        <f t="shared" si="40"/>
        <v>3.013863773357444</v>
      </c>
      <c r="K423" s="3">
        <f t="shared" si="41"/>
        <v>1.2381975898598725</v>
      </c>
    </row>
    <row r="424" spans="1:11" x14ac:dyDescent="0.25">
      <c r="A424" s="4" t="s">
        <v>425</v>
      </c>
      <c r="B424" s="4">
        <v>149</v>
      </c>
      <c r="C424">
        <f t="shared" si="36"/>
        <v>0.745</v>
      </c>
      <c r="D424">
        <f t="shared" si="37"/>
        <v>331.8</v>
      </c>
      <c r="E424">
        <v>58.8</v>
      </c>
      <c r="G424">
        <f t="shared" si="38"/>
        <v>331.8</v>
      </c>
      <c r="H424" s="2">
        <f t="shared" si="39"/>
        <v>1.8572535211267607</v>
      </c>
      <c r="J424" s="2">
        <f t="shared" si="40"/>
        <v>3.013863773357444</v>
      </c>
      <c r="K424" s="3">
        <f t="shared" si="41"/>
        <v>1.2381975898598725</v>
      </c>
    </row>
    <row r="425" spans="1:11" x14ac:dyDescent="0.25">
      <c r="A425" s="4" t="s">
        <v>426</v>
      </c>
      <c r="B425" s="4">
        <v>149</v>
      </c>
      <c r="C425">
        <f t="shared" si="36"/>
        <v>0.745</v>
      </c>
      <c r="D425">
        <f t="shared" si="37"/>
        <v>331.8</v>
      </c>
      <c r="E425">
        <v>58.8</v>
      </c>
      <c r="G425">
        <f t="shared" si="38"/>
        <v>331.8</v>
      </c>
      <c r="H425" s="2">
        <f t="shared" si="39"/>
        <v>1.8572535211267607</v>
      </c>
      <c r="J425" s="2">
        <f t="shared" si="40"/>
        <v>3.013863773357444</v>
      </c>
      <c r="K425" s="3">
        <f t="shared" si="41"/>
        <v>1.2381975898598725</v>
      </c>
    </row>
    <row r="426" spans="1:11" x14ac:dyDescent="0.25">
      <c r="A426" s="4" t="s">
        <v>427</v>
      </c>
      <c r="B426" s="4">
        <v>149</v>
      </c>
      <c r="C426">
        <f t="shared" si="36"/>
        <v>0.745</v>
      </c>
      <c r="D426">
        <f t="shared" si="37"/>
        <v>331.8</v>
      </c>
      <c r="E426">
        <v>58.8</v>
      </c>
      <c r="G426">
        <f t="shared" si="38"/>
        <v>331.8</v>
      </c>
      <c r="H426" s="2">
        <f t="shared" si="39"/>
        <v>1.8572535211267607</v>
      </c>
      <c r="J426" s="2">
        <f t="shared" si="40"/>
        <v>3.013863773357444</v>
      </c>
      <c r="K426" s="3">
        <f t="shared" si="41"/>
        <v>1.2381975898598725</v>
      </c>
    </row>
    <row r="427" spans="1:11" x14ac:dyDescent="0.25">
      <c r="A427" s="4" t="s">
        <v>428</v>
      </c>
      <c r="B427" s="4">
        <v>149</v>
      </c>
      <c r="C427">
        <f t="shared" si="36"/>
        <v>0.745</v>
      </c>
      <c r="D427">
        <f t="shared" si="37"/>
        <v>331.8</v>
      </c>
      <c r="E427">
        <v>58.8</v>
      </c>
      <c r="G427">
        <f t="shared" si="38"/>
        <v>331.8</v>
      </c>
      <c r="H427" s="2">
        <f t="shared" si="39"/>
        <v>1.8572535211267607</v>
      </c>
      <c r="J427" s="2">
        <f t="shared" si="40"/>
        <v>3.013863773357444</v>
      </c>
      <c r="K427" s="3">
        <f t="shared" si="41"/>
        <v>1.2381975898598725</v>
      </c>
    </row>
    <row r="428" spans="1:11" x14ac:dyDescent="0.25">
      <c r="A428" s="4" t="s">
        <v>429</v>
      </c>
      <c r="B428" s="4">
        <v>149</v>
      </c>
      <c r="C428">
        <f t="shared" si="36"/>
        <v>0.745</v>
      </c>
      <c r="D428">
        <f t="shared" si="37"/>
        <v>331.8</v>
      </c>
      <c r="E428">
        <v>58.8</v>
      </c>
      <c r="G428">
        <f t="shared" si="38"/>
        <v>331.8</v>
      </c>
      <c r="H428" s="2">
        <f t="shared" si="39"/>
        <v>1.8572535211267607</v>
      </c>
      <c r="J428" s="2">
        <f t="shared" si="40"/>
        <v>3.013863773357444</v>
      </c>
      <c r="K428" s="3">
        <f t="shared" si="41"/>
        <v>1.2381975898598725</v>
      </c>
    </row>
    <row r="429" spans="1:11" x14ac:dyDescent="0.25">
      <c r="A429" s="4" t="s">
        <v>430</v>
      </c>
      <c r="B429" s="4">
        <v>149</v>
      </c>
      <c r="C429">
        <f t="shared" si="36"/>
        <v>0.745</v>
      </c>
      <c r="D429">
        <f t="shared" si="37"/>
        <v>331.8</v>
      </c>
      <c r="E429">
        <v>58.8</v>
      </c>
      <c r="G429">
        <f t="shared" si="38"/>
        <v>331.8</v>
      </c>
      <c r="H429" s="2">
        <f t="shared" si="39"/>
        <v>1.8572535211267607</v>
      </c>
      <c r="J429" s="2">
        <f t="shared" si="40"/>
        <v>3.013863773357444</v>
      </c>
      <c r="K429" s="3">
        <f t="shared" si="41"/>
        <v>1.2381975898598725</v>
      </c>
    </row>
    <row r="430" spans="1:11" x14ac:dyDescent="0.25">
      <c r="A430" s="4" t="s">
        <v>431</v>
      </c>
      <c r="B430" s="4">
        <v>149</v>
      </c>
      <c r="C430">
        <f t="shared" si="36"/>
        <v>0.745</v>
      </c>
      <c r="D430">
        <f t="shared" si="37"/>
        <v>331.8</v>
      </c>
      <c r="E430">
        <v>58.8</v>
      </c>
      <c r="G430">
        <f t="shared" si="38"/>
        <v>331.8</v>
      </c>
      <c r="H430" s="2">
        <f t="shared" si="39"/>
        <v>1.8572535211267607</v>
      </c>
      <c r="J430" s="2">
        <f t="shared" si="40"/>
        <v>3.013863773357444</v>
      </c>
      <c r="K430" s="3">
        <f t="shared" si="41"/>
        <v>1.2381975898598725</v>
      </c>
    </row>
    <row r="431" spans="1:11" x14ac:dyDescent="0.25">
      <c r="A431" s="4" t="s">
        <v>432</v>
      </c>
      <c r="B431" s="4">
        <v>149</v>
      </c>
      <c r="C431">
        <f t="shared" si="36"/>
        <v>0.745</v>
      </c>
      <c r="D431">
        <f t="shared" si="37"/>
        <v>331.8</v>
      </c>
      <c r="E431">
        <v>58.8</v>
      </c>
      <c r="G431">
        <f t="shared" si="38"/>
        <v>331.8</v>
      </c>
      <c r="H431" s="2">
        <f t="shared" si="39"/>
        <v>1.8572535211267607</v>
      </c>
      <c r="J431" s="2">
        <f t="shared" si="40"/>
        <v>3.013863773357444</v>
      </c>
      <c r="K431" s="3">
        <f t="shared" si="41"/>
        <v>1.2381975898598725</v>
      </c>
    </row>
    <row r="432" spans="1:11" x14ac:dyDescent="0.25">
      <c r="A432" s="4" t="s">
        <v>433</v>
      </c>
      <c r="B432" s="4">
        <v>149</v>
      </c>
      <c r="C432">
        <f t="shared" si="36"/>
        <v>0.745</v>
      </c>
      <c r="D432">
        <f t="shared" si="37"/>
        <v>331.7</v>
      </c>
      <c r="E432">
        <v>58.7</v>
      </c>
      <c r="G432">
        <f t="shared" si="38"/>
        <v>331.7</v>
      </c>
      <c r="H432" s="2">
        <f t="shared" si="39"/>
        <v>1.8572535211267607</v>
      </c>
      <c r="J432" s="2">
        <f t="shared" si="40"/>
        <v>3.0147723846849566</v>
      </c>
      <c r="K432" s="3">
        <f t="shared" si="41"/>
        <v>1.2381975898598725</v>
      </c>
    </row>
    <row r="433" spans="1:11" x14ac:dyDescent="0.25">
      <c r="A433" s="4" t="s">
        <v>434</v>
      </c>
      <c r="B433" s="4">
        <v>149</v>
      </c>
      <c r="C433">
        <f t="shared" si="36"/>
        <v>0.745</v>
      </c>
      <c r="D433">
        <f t="shared" si="37"/>
        <v>331.7</v>
      </c>
      <c r="E433">
        <v>58.7</v>
      </c>
      <c r="G433">
        <f t="shared" si="38"/>
        <v>331.7</v>
      </c>
      <c r="H433" s="2">
        <f t="shared" si="39"/>
        <v>1.8572535211267607</v>
      </c>
      <c r="J433" s="2">
        <f t="shared" si="40"/>
        <v>3.0147723846849566</v>
      </c>
      <c r="K433" s="3">
        <f t="shared" si="41"/>
        <v>1.2381975898598725</v>
      </c>
    </row>
    <row r="434" spans="1:11" x14ac:dyDescent="0.25">
      <c r="A434" s="4" t="s">
        <v>435</v>
      </c>
      <c r="B434" s="4">
        <v>148</v>
      </c>
      <c r="C434">
        <f t="shared" si="36"/>
        <v>0.74</v>
      </c>
      <c r="D434">
        <f t="shared" si="37"/>
        <v>331.7</v>
      </c>
      <c r="E434">
        <v>58.7</v>
      </c>
      <c r="G434">
        <f t="shared" si="38"/>
        <v>331.7</v>
      </c>
      <c r="H434" s="2">
        <f t="shared" si="39"/>
        <v>1.8447887323943661</v>
      </c>
      <c r="J434" s="2">
        <f t="shared" si="40"/>
        <v>3.0147723846849566</v>
      </c>
      <c r="K434" s="3">
        <f t="shared" si="41"/>
        <v>1.2247295254971842</v>
      </c>
    </row>
    <row r="435" spans="1:11" x14ac:dyDescent="0.25">
      <c r="A435" s="4" t="s">
        <v>436</v>
      </c>
      <c r="B435" s="4">
        <v>148</v>
      </c>
      <c r="C435">
        <f t="shared" si="36"/>
        <v>0.74</v>
      </c>
      <c r="D435">
        <f t="shared" si="37"/>
        <v>331.6</v>
      </c>
      <c r="E435">
        <v>58.6</v>
      </c>
      <c r="G435">
        <f t="shared" si="38"/>
        <v>331.6</v>
      </c>
      <c r="H435" s="2">
        <f t="shared" si="39"/>
        <v>1.8447887323943661</v>
      </c>
      <c r="J435" s="2">
        <f t="shared" si="40"/>
        <v>3.0156815440289502</v>
      </c>
      <c r="K435" s="3">
        <f t="shared" si="41"/>
        <v>1.2247295254971842</v>
      </c>
    </row>
    <row r="436" spans="1:11" x14ac:dyDescent="0.25">
      <c r="A436" s="4" t="s">
        <v>437</v>
      </c>
      <c r="B436" s="4">
        <v>147</v>
      </c>
      <c r="C436">
        <f t="shared" si="36"/>
        <v>0.73499999999999999</v>
      </c>
      <c r="D436">
        <f t="shared" si="37"/>
        <v>331.6</v>
      </c>
      <c r="E436">
        <v>58.6</v>
      </c>
      <c r="G436">
        <f t="shared" si="38"/>
        <v>331.6</v>
      </c>
      <c r="H436" s="2">
        <f t="shared" si="39"/>
        <v>1.8323239436619718</v>
      </c>
      <c r="J436" s="2">
        <f t="shared" si="40"/>
        <v>3.0156815440289502</v>
      </c>
      <c r="K436" s="3">
        <f t="shared" si="41"/>
        <v>1.2111701515264266</v>
      </c>
    </row>
    <row r="437" spans="1:11" x14ac:dyDescent="0.25">
      <c r="A437" s="4" t="s">
        <v>438</v>
      </c>
      <c r="B437" s="4">
        <v>147</v>
      </c>
      <c r="C437">
        <f t="shared" si="36"/>
        <v>0.73499999999999999</v>
      </c>
      <c r="D437">
        <f t="shared" si="37"/>
        <v>331.6</v>
      </c>
      <c r="E437">
        <v>58.6</v>
      </c>
      <c r="G437">
        <f t="shared" si="38"/>
        <v>331.6</v>
      </c>
      <c r="H437" s="2">
        <f t="shared" si="39"/>
        <v>1.8323239436619718</v>
      </c>
      <c r="J437" s="2">
        <f t="shared" si="40"/>
        <v>3.0156815440289502</v>
      </c>
      <c r="K437" s="3">
        <f t="shared" si="41"/>
        <v>1.2111701515264266</v>
      </c>
    </row>
    <row r="438" spans="1:11" x14ac:dyDescent="0.25">
      <c r="A438" s="4" t="s">
        <v>439</v>
      </c>
      <c r="B438" s="4">
        <v>148</v>
      </c>
      <c r="C438">
        <f t="shared" si="36"/>
        <v>0.74</v>
      </c>
      <c r="D438">
        <f t="shared" si="37"/>
        <v>331.5</v>
      </c>
      <c r="E438">
        <v>58.5</v>
      </c>
      <c r="G438">
        <f t="shared" si="38"/>
        <v>331.5</v>
      </c>
      <c r="H438" s="2">
        <f t="shared" si="39"/>
        <v>1.8447887323943661</v>
      </c>
      <c r="J438" s="2">
        <f t="shared" si="40"/>
        <v>3.0165912518853695</v>
      </c>
      <c r="K438" s="3">
        <f t="shared" si="41"/>
        <v>1.2247295254971842</v>
      </c>
    </row>
    <row r="439" spans="1:11" x14ac:dyDescent="0.25">
      <c r="A439" s="4" t="s">
        <v>440</v>
      </c>
      <c r="B439" s="4">
        <v>148</v>
      </c>
      <c r="C439">
        <f t="shared" si="36"/>
        <v>0.74</v>
      </c>
      <c r="D439">
        <f t="shared" si="37"/>
        <v>331.5</v>
      </c>
      <c r="E439">
        <v>58.5</v>
      </c>
      <c r="G439">
        <f t="shared" si="38"/>
        <v>331.5</v>
      </c>
      <c r="H439" s="2">
        <f t="shared" si="39"/>
        <v>1.8447887323943661</v>
      </c>
      <c r="J439" s="2">
        <f t="shared" si="40"/>
        <v>3.0165912518853695</v>
      </c>
      <c r="K439" s="3">
        <f t="shared" si="41"/>
        <v>1.2247295254971842</v>
      </c>
    </row>
    <row r="440" spans="1:11" x14ac:dyDescent="0.25">
      <c r="A440" s="4" t="s">
        <v>441</v>
      </c>
      <c r="B440" s="4">
        <v>147</v>
      </c>
      <c r="C440">
        <f t="shared" si="36"/>
        <v>0.73499999999999999</v>
      </c>
      <c r="D440">
        <f t="shared" si="37"/>
        <v>331.5</v>
      </c>
      <c r="E440">
        <v>58.5</v>
      </c>
      <c r="G440">
        <f t="shared" si="38"/>
        <v>331.5</v>
      </c>
      <c r="H440" s="2">
        <f t="shared" si="39"/>
        <v>1.8323239436619718</v>
      </c>
      <c r="J440" s="2">
        <f t="shared" si="40"/>
        <v>3.0165912518853695</v>
      </c>
      <c r="K440" s="3">
        <f t="shared" si="41"/>
        <v>1.2111701515264266</v>
      </c>
    </row>
    <row r="441" spans="1:11" x14ac:dyDescent="0.25">
      <c r="A441" s="4" t="s">
        <v>442</v>
      </c>
      <c r="B441" s="4">
        <v>146</v>
      </c>
      <c r="C441">
        <f t="shared" si="36"/>
        <v>0.73</v>
      </c>
      <c r="D441">
        <f t="shared" si="37"/>
        <v>331.5</v>
      </c>
      <c r="E441">
        <v>58.5</v>
      </c>
      <c r="G441">
        <f t="shared" si="38"/>
        <v>331.5</v>
      </c>
      <c r="H441" s="2">
        <f t="shared" si="39"/>
        <v>1.8198591549295775</v>
      </c>
      <c r="J441" s="2">
        <f t="shared" si="40"/>
        <v>3.0165912518853695</v>
      </c>
      <c r="K441" s="3">
        <f t="shared" si="41"/>
        <v>1.197518221385627</v>
      </c>
    </row>
    <row r="442" spans="1:11" x14ac:dyDescent="0.25">
      <c r="A442" s="4" t="s">
        <v>443</v>
      </c>
      <c r="B442" s="4">
        <v>146</v>
      </c>
      <c r="C442">
        <f t="shared" si="36"/>
        <v>0.73</v>
      </c>
      <c r="D442">
        <f t="shared" si="37"/>
        <v>331.3</v>
      </c>
      <c r="E442">
        <v>58.3</v>
      </c>
      <c r="G442">
        <f t="shared" si="38"/>
        <v>331.3</v>
      </c>
      <c r="H442" s="2">
        <f t="shared" si="39"/>
        <v>1.8198591549295775</v>
      </c>
      <c r="J442" s="2">
        <f t="shared" si="40"/>
        <v>3.0184123151222457</v>
      </c>
      <c r="K442" s="3">
        <f t="shared" si="41"/>
        <v>1.197518221385627</v>
      </c>
    </row>
    <row r="443" spans="1:11" x14ac:dyDescent="0.25">
      <c r="A443" s="4" t="s">
        <v>444</v>
      </c>
      <c r="B443" s="4">
        <v>146</v>
      </c>
      <c r="C443">
        <f t="shared" si="36"/>
        <v>0.73</v>
      </c>
      <c r="D443">
        <f t="shared" si="37"/>
        <v>331.3</v>
      </c>
      <c r="E443">
        <v>58.3</v>
      </c>
      <c r="G443">
        <f t="shared" si="38"/>
        <v>331.3</v>
      </c>
      <c r="H443" s="2">
        <f t="shared" si="39"/>
        <v>1.8198591549295775</v>
      </c>
      <c r="J443" s="2">
        <f t="shared" si="40"/>
        <v>3.0184123151222457</v>
      </c>
      <c r="K443" s="3">
        <f t="shared" si="41"/>
        <v>1.197518221385627</v>
      </c>
    </row>
    <row r="444" spans="1:11" x14ac:dyDescent="0.25">
      <c r="A444" s="4" t="s">
        <v>445</v>
      </c>
      <c r="B444" s="4">
        <v>147</v>
      </c>
      <c r="C444">
        <f t="shared" si="36"/>
        <v>0.73499999999999999</v>
      </c>
      <c r="D444">
        <f t="shared" si="37"/>
        <v>331.3</v>
      </c>
      <c r="E444">
        <v>58.3</v>
      </c>
      <c r="G444">
        <f t="shared" si="38"/>
        <v>331.3</v>
      </c>
      <c r="H444" s="2">
        <f t="shared" si="39"/>
        <v>1.8323239436619718</v>
      </c>
      <c r="J444" s="2">
        <f t="shared" si="40"/>
        <v>3.0184123151222457</v>
      </c>
      <c r="K444" s="3">
        <f t="shared" si="41"/>
        <v>1.2111701515264266</v>
      </c>
    </row>
    <row r="445" spans="1:11" x14ac:dyDescent="0.25">
      <c r="A445" s="4" t="s">
        <v>446</v>
      </c>
      <c r="B445" s="4">
        <v>147</v>
      </c>
      <c r="C445">
        <f t="shared" si="36"/>
        <v>0.73499999999999999</v>
      </c>
      <c r="D445">
        <f t="shared" si="37"/>
        <v>331.1</v>
      </c>
      <c r="E445">
        <v>58.1</v>
      </c>
      <c r="G445">
        <f t="shared" si="38"/>
        <v>331.1</v>
      </c>
      <c r="H445" s="2">
        <f t="shared" si="39"/>
        <v>1.8323239436619718</v>
      </c>
      <c r="J445" s="2">
        <f t="shared" si="40"/>
        <v>3.0202355783751131</v>
      </c>
      <c r="K445" s="3">
        <f t="shared" si="41"/>
        <v>1.2111701515264266</v>
      </c>
    </row>
    <row r="446" spans="1:11" x14ac:dyDescent="0.25">
      <c r="A446" s="4" t="s">
        <v>447</v>
      </c>
      <c r="B446" s="4">
        <v>149</v>
      </c>
      <c r="C446">
        <f t="shared" si="36"/>
        <v>0.745</v>
      </c>
      <c r="D446">
        <f t="shared" si="37"/>
        <v>331.1</v>
      </c>
      <c r="E446">
        <v>58.1</v>
      </c>
      <c r="G446">
        <f t="shared" si="38"/>
        <v>331.1</v>
      </c>
      <c r="H446" s="2">
        <f t="shared" si="39"/>
        <v>1.8572535211267607</v>
      </c>
      <c r="J446" s="2">
        <f t="shared" si="40"/>
        <v>3.0202355783751131</v>
      </c>
      <c r="K446" s="3">
        <f t="shared" si="41"/>
        <v>1.2381975898598725</v>
      </c>
    </row>
    <row r="447" spans="1:11" x14ac:dyDescent="0.25">
      <c r="A447" s="4" t="s">
        <v>448</v>
      </c>
      <c r="B447" s="4">
        <v>147</v>
      </c>
      <c r="C447">
        <f t="shared" si="36"/>
        <v>0.73499999999999999</v>
      </c>
      <c r="D447">
        <f t="shared" si="37"/>
        <v>331.1</v>
      </c>
      <c r="E447">
        <v>58.1</v>
      </c>
      <c r="G447">
        <f t="shared" si="38"/>
        <v>331.1</v>
      </c>
      <c r="H447" s="2">
        <f t="shared" si="39"/>
        <v>1.8323239436619718</v>
      </c>
      <c r="J447" s="2">
        <f t="shared" si="40"/>
        <v>3.0202355783751131</v>
      </c>
      <c r="K447" s="3">
        <f t="shared" si="41"/>
        <v>1.2111701515264266</v>
      </c>
    </row>
    <row r="448" spans="1:11" x14ac:dyDescent="0.25">
      <c r="A448" s="4" t="s">
        <v>449</v>
      </c>
      <c r="B448" s="4">
        <v>148</v>
      </c>
      <c r="C448">
        <f t="shared" si="36"/>
        <v>0.74</v>
      </c>
      <c r="D448">
        <f t="shared" si="37"/>
        <v>331.1</v>
      </c>
      <c r="E448">
        <v>58.1</v>
      </c>
      <c r="G448">
        <f t="shared" si="38"/>
        <v>331.1</v>
      </c>
      <c r="H448" s="2">
        <f t="shared" si="39"/>
        <v>1.8447887323943661</v>
      </c>
      <c r="J448" s="2">
        <f t="shared" si="40"/>
        <v>3.0202355783751131</v>
      </c>
      <c r="K448" s="3">
        <f t="shared" si="41"/>
        <v>1.2247295254971842</v>
      </c>
    </row>
    <row r="449" spans="1:11" x14ac:dyDescent="0.25">
      <c r="A449" s="4" t="s">
        <v>450</v>
      </c>
      <c r="B449" s="4">
        <v>147</v>
      </c>
      <c r="C449">
        <f t="shared" si="36"/>
        <v>0.73499999999999999</v>
      </c>
      <c r="D449">
        <f t="shared" si="37"/>
        <v>331.1</v>
      </c>
      <c r="E449">
        <v>58.1</v>
      </c>
      <c r="G449">
        <f t="shared" si="38"/>
        <v>331.1</v>
      </c>
      <c r="H449" s="2">
        <f t="shared" si="39"/>
        <v>1.8323239436619718</v>
      </c>
      <c r="J449" s="2">
        <f t="shared" si="40"/>
        <v>3.0202355783751131</v>
      </c>
      <c r="K449" s="3">
        <f t="shared" si="41"/>
        <v>1.2111701515264266</v>
      </c>
    </row>
    <row r="450" spans="1:11" x14ac:dyDescent="0.25">
      <c r="A450" s="4" t="s">
        <v>451</v>
      </c>
      <c r="B450" s="4">
        <v>147</v>
      </c>
      <c r="C450">
        <f t="shared" si="36"/>
        <v>0.73499999999999999</v>
      </c>
      <c r="D450">
        <f t="shared" si="37"/>
        <v>331.1</v>
      </c>
      <c r="E450">
        <v>58.1</v>
      </c>
      <c r="G450">
        <f t="shared" si="38"/>
        <v>331.1</v>
      </c>
      <c r="H450" s="2">
        <f t="shared" si="39"/>
        <v>1.8323239436619718</v>
      </c>
      <c r="J450" s="2">
        <f t="shared" si="40"/>
        <v>3.0202355783751131</v>
      </c>
      <c r="K450" s="3">
        <f t="shared" si="41"/>
        <v>1.2111701515264266</v>
      </c>
    </row>
    <row r="451" spans="1:11" x14ac:dyDescent="0.25">
      <c r="A451" s="4" t="s">
        <v>452</v>
      </c>
      <c r="B451" s="4">
        <v>149</v>
      </c>
      <c r="C451">
        <f t="shared" si="36"/>
        <v>0.745</v>
      </c>
      <c r="D451">
        <f t="shared" si="37"/>
        <v>331.1</v>
      </c>
      <c r="E451">
        <v>58.1</v>
      </c>
      <c r="G451">
        <f t="shared" si="38"/>
        <v>331.1</v>
      </c>
      <c r="H451" s="2">
        <f t="shared" si="39"/>
        <v>1.8572535211267607</v>
      </c>
      <c r="J451" s="2">
        <f t="shared" si="40"/>
        <v>3.0202355783751131</v>
      </c>
      <c r="K451" s="3">
        <f t="shared" si="41"/>
        <v>1.2381975898598725</v>
      </c>
    </row>
    <row r="452" spans="1:11" x14ac:dyDescent="0.25">
      <c r="A452" s="4" t="s">
        <v>453</v>
      </c>
      <c r="B452" s="4">
        <v>148</v>
      </c>
      <c r="C452">
        <f t="shared" si="36"/>
        <v>0.74</v>
      </c>
      <c r="D452">
        <f t="shared" si="37"/>
        <v>331.1</v>
      </c>
      <c r="E452">
        <v>58.1</v>
      </c>
      <c r="G452">
        <f t="shared" si="38"/>
        <v>331.1</v>
      </c>
      <c r="H452" s="2">
        <f t="shared" si="39"/>
        <v>1.8447887323943661</v>
      </c>
      <c r="J452" s="2">
        <f t="shared" si="40"/>
        <v>3.0202355783751131</v>
      </c>
      <c r="K452" s="3">
        <f t="shared" si="41"/>
        <v>1.2247295254971842</v>
      </c>
    </row>
    <row r="453" spans="1:11" x14ac:dyDescent="0.25">
      <c r="A453" s="4" t="s">
        <v>454</v>
      </c>
      <c r="B453" s="4">
        <v>148</v>
      </c>
      <c r="C453">
        <f t="shared" si="36"/>
        <v>0.74</v>
      </c>
      <c r="D453">
        <f t="shared" si="37"/>
        <v>331.1</v>
      </c>
      <c r="E453">
        <v>58.1</v>
      </c>
      <c r="G453">
        <f t="shared" si="38"/>
        <v>331.1</v>
      </c>
      <c r="H453" s="2">
        <f t="shared" si="39"/>
        <v>1.8447887323943661</v>
      </c>
      <c r="J453" s="2">
        <f t="shared" si="40"/>
        <v>3.0202355783751131</v>
      </c>
      <c r="K453" s="3">
        <f t="shared" si="41"/>
        <v>1.2247295254971842</v>
      </c>
    </row>
    <row r="454" spans="1:11" x14ac:dyDescent="0.25">
      <c r="A454" s="4" t="s">
        <v>455</v>
      </c>
      <c r="B454" s="4">
        <v>149</v>
      </c>
      <c r="C454">
        <f t="shared" si="36"/>
        <v>0.745</v>
      </c>
      <c r="D454">
        <f t="shared" si="37"/>
        <v>330.9</v>
      </c>
      <c r="E454">
        <v>57.9</v>
      </c>
      <c r="G454">
        <f t="shared" si="38"/>
        <v>330.9</v>
      </c>
      <c r="H454" s="2">
        <f t="shared" si="39"/>
        <v>1.8572535211267607</v>
      </c>
      <c r="J454" s="2">
        <f t="shared" si="40"/>
        <v>3.0220610456331221</v>
      </c>
      <c r="K454" s="3">
        <f t="shared" si="41"/>
        <v>1.2381975898598725</v>
      </c>
    </row>
    <row r="455" spans="1:11" x14ac:dyDescent="0.25">
      <c r="A455" s="4" t="s">
        <v>456</v>
      </c>
      <c r="B455" s="4">
        <v>148</v>
      </c>
      <c r="C455">
        <f t="shared" si="36"/>
        <v>0.74</v>
      </c>
      <c r="D455">
        <f t="shared" si="37"/>
        <v>330.9</v>
      </c>
      <c r="E455">
        <v>57.9</v>
      </c>
      <c r="G455">
        <f t="shared" si="38"/>
        <v>330.9</v>
      </c>
      <c r="H455" s="2">
        <f t="shared" si="39"/>
        <v>1.8447887323943661</v>
      </c>
      <c r="J455" s="2">
        <f t="shared" si="40"/>
        <v>3.0220610456331221</v>
      </c>
      <c r="K455" s="3">
        <f t="shared" si="41"/>
        <v>1.2247295254971842</v>
      </c>
    </row>
    <row r="456" spans="1:11" x14ac:dyDescent="0.25">
      <c r="A456" s="4" t="s">
        <v>457</v>
      </c>
      <c r="B456" s="4">
        <v>147</v>
      </c>
      <c r="C456">
        <f t="shared" si="36"/>
        <v>0.73499999999999999</v>
      </c>
      <c r="D456">
        <f t="shared" si="37"/>
        <v>330.9</v>
      </c>
      <c r="E456">
        <v>57.9</v>
      </c>
      <c r="G456">
        <f t="shared" si="38"/>
        <v>330.9</v>
      </c>
      <c r="H456" s="2">
        <f t="shared" si="39"/>
        <v>1.8323239436619718</v>
      </c>
      <c r="J456" s="2">
        <f t="shared" si="40"/>
        <v>3.0220610456331221</v>
      </c>
      <c r="K456" s="3">
        <f t="shared" si="41"/>
        <v>1.2111701515264266</v>
      </c>
    </row>
    <row r="457" spans="1:11" x14ac:dyDescent="0.25">
      <c r="A457" s="4" t="s">
        <v>458</v>
      </c>
      <c r="B457" s="4">
        <v>146</v>
      </c>
      <c r="C457">
        <f t="shared" si="36"/>
        <v>0.73</v>
      </c>
      <c r="D457">
        <f t="shared" si="37"/>
        <v>330.9</v>
      </c>
      <c r="E457">
        <v>57.9</v>
      </c>
      <c r="G457">
        <f t="shared" si="38"/>
        <v>330.9</v>
      </c>
      <c r="H457" s="2">
        <f t="shared" si="39"/>
        <v>1.8198591549295775</v>
      </c>
      <c r="J457" s="2">
        <f t="shared" si="40"/>
        <v>3.0220610456331221</v>
      </c>
      <c r="K457" s="3">
        <f t="shared" si="41"/>
        <v>1.197518221385627</v>
      </c>
    </row>
    <row r="458" spans="1:11" x14ac:dyDescent="0.25">
      <c r="A458" s="4" t="s">
        <v>459</v>
      </c>
      <c r="B458" s="4">
        <v>147</v>
      </c>
      <c r="C458">
        <f t="shared" si="36"/>
        <v>0.73499999999999999</v>
      </c>
      <c r="D458">
        <f t="shared" si="37"/>
        <v>330.8</v>
      </c>
      <c r="E458">
        <v>57.8</v>
      </c>
      <c r="G458">
        <f t="shared" si="38"/>
        <v>330.8</v>
      </c>
      <c r="H458" s="2">
        <f t="shared" si="39"/>
        <v>1.8323239436619718</v>
      </c>
      <c r="J458" s="2">
        <f t="shared" si="40"/>
        <v>3.022974607013301</v>
      </c>
      <c r="K458" s="3">
        <f t="shared" si="41"/>
        <v>1.2111701515264266</v>
      </c>
    </row>
    <row r="459" spans="1:11" x14ac:dyDescent="0.25">
      <c r="A459" s="4" t="s">
        <v>460</v>
      </c>
      <c r="B459" s="4">
        <v>146</v>
      </c>
      <c r="C459">
        <f t="shared" ref="C459:C521" si="42">B459/200</f>
        <v>0.73</v>
      </c>
      <c r="D459">
        <f t="shared" ref="D459:D521" si="43">273+E459</f>
        <v>330.8</v>
      </c>
      <c r="E459">
        <v>57.8</v>
      </c>
      <c r="G459">
        <f t="shared" ref="G459:G521" si="44">D459</f>
        <v>330.8</v>
      </c>
      <c r="H459" s="2">
        <f t="shared" ref="H459:H521" si="45">1.77*B459/142</f>
        <v>1.8198591549295775</v>
      </c>
      <c r="J459" s="2">
        <f t="shared" ref="J459:J521" si="46">1000/G459</f>
        <v>3.022974607013301</v>
      </c>
      <c r="K459" s="3">
        <f t="shared" ref="K459:K521" si="47">LN(H459*H459)</f>
        <v>1.197518221385627</v>
      </c>
    </row>
    <row r="460" spans="1:11" x14ac:dyDescent="0.25">
      <c r="A460" s="4" t="s">
        <v>461</v>
      </c>
      <c r="B460" s="4">
        <v>148</v>
      </c>
      <c r="C460">
        <f t="shared" si="42"/>
        <v>0.74</v>
      </c>
      <c r="D460">
        <f t="shared" si="43"/>
        <v>330.8</v>
      </c>
      <c r="E460">
        <v>57.8</v>
      </c>
      <c r="G460">
        <f t="shared" si="44"/>
        <v>330.8</v>
      </c>
      <c r="H460" s="2">
        <f t="shared" si="45"/>
        <v>1.8447887323943661</v>
      </c>
      <c r="J460" s="2">
        <f t="shared" si="46"/>
        <v>3.022974607013301</v>
      </c>
      <c r="K460" s="3">
        <f t="shared" si="47"/>
        <v>1.2247295254971842</v>
      </c>
    </row>
    <row r="461" spans="1:11" x14ac:dyDescent="0.25">
      <c r="A461" s="4" t="s">
        <v>462</v>
      </c>
      <c r="B461" s="4">
        <v>147</v>
      </c>
      <c r="C461">
        <f t="shared" si="42"/>
        <v>0.73499999999999999</v>
      </c>
      <c r="D461">
        <f t="shared" si="43"/>
        <v>330.8</v>
      </c>
      <c r="E461">
        <v>57.8</v>
      </c>
      <c r="G461">
        <f t="shared" si="44"/>
        <v>330.8</v>
      </c>
      <c r="H461" s="2">
        <f t="shared" si="45"/>
        <v>1.8323239436619718</v>
      </c>
      <c r="J461" s="2">
        <f t="shared" si="46"/>
        <v>3.022974607013301</v>
      </c>
      <c r="K461" s="3">
        <f t="shared" si="47"/>
        <v>1.2111701515264266</v>
      </c>
    </row>
    <row r="462" spans="1:11" x14ac:dyDescent="0.25">
      <c r="A462" s="4" t="s">
        <v>463</v>
      </c>
      <c r="B462" s="4">
        <v>147</v>
      </c>
      <c r="C462">
        <f t="shared" si="42"/>
        <v>0.73499999999999999</v>
      </c>
      <c r="D462">
        <f t="shared" si="43"/>
        <v>330.8</v>
      </c>
      <c r="E462">
        <v>57.8</v>
      </c>
      <c r="G462">
        <f t="shared" si="44"/>
        <v>330.8</v>
      </c>
      <c r="H462" s="2">
        <f t="shared" si="45"/>
        <v>1.8323239436619718</v>
      </c>
      <c r="J462" s="2">
        <f t="shared" si="46"/>
        <v>3.022974607013301</v>
      </c>
      <c r="K462" s="3">
        <f t="shared" si="47"/>
        <v>1.2111701515264266</v>
      </c>
    </row>
    <row r="463" spans="1:11" x14ac:dyDescent="0.25">
      <c r="A463" s="4" t="s">
        <v>464</v>
      </c>
      <c r="B463" s="4">
        <v>148</v>
      </c>
      <c r="C463">
        <f t="shared" si="42"/>
        <v>0.74</v>
      </c>
      <c r="D463">
        <f t="shared" si="43"/>
        <v>330.8</v>
      </c>
      <c r="E463">
        <v>57.8</v>
      </c>
      <c r="G463">
        <f t="shared" si="44"/>
        <v>330.8</v>
      </c>
      <c r="H463" s="2">
        <f t="shared" si="45"/>
        <v>1.8447887323943661</v>
      </c>
      <c r="J463" s="2">
        <f t="shared" si="46"/>
        <v>3.022974607013301</v>
      </c>
      <c r="K463" s="3">
        <f t="shared" si="47"/>
        <v>1.2247295254971842</v>
      </c>
    </row>
    <row r="464" spans="1:11" x14ac:dyDescent="0.25">
      <c r="A464" s="4" t="s">
        <v>465</v>
      </c>
      <c r="B464" s="4">
        <v>147</v>
      </c>
      <c r="C464">
        <f t="shared" si="42"/>
        <v>0.73499999999999999</v>
      </c>
      <c r="D464">
        <f t="shared" si="43"/>
        <v>330.7</v>
      </c>
      <c r="E464">
        <v>57.7</v>
      </c>
      <c r="G464">
        <f t="shared" si="44"/>
        <v>330.7</v>
      </c>
      <c r="H464" s="2">
        <f t="shared" si="45"/>
        <v>1.8323239436619718</v>
      </c>
      <c r="J464" s="2">
        <f t="shared" si="46"/>
        <v>3.0238887208950711</v>
      </c>
      <c r="K464" s="3">
        <f t="shared" si="47"/>
        <v>1.2111701515264266</v>
      </c>
    </row>
    <row r="465" spans="1:11" x14ac:dyDescent="0.25">
      <c r="A465" s="4" t="s">
        <v>466</v>
      </c>
      <c r="B465" s="4">
        <v>146</v>
      </c>
      <c r="C465">
        <f t="shared" si="42"/>
        <v>0.73</v>
      </c>
      <c r="D465">
        <f t="shared" si="43"/>
        <v>330.7</v>
      </c>
      <c r="E465">
        <v>57.7</v>
      </c>
      <c r="G465">
        <f t="shared" si="44"/>
        <v>330.7</v>
      </c>
      <c r="H465" s="2">
        <f t="shared" si="45"/>
        <v>1.8198591549295775</v>
      </c>
      <c r="J465" s="2">
        <f t="shared" si="46"/>
        <v>3.0238887208950711</v>
      </c>
      <c r="K465" s="3">
        <f t="shared" si="47"/>
        <v>1.197518221385627</v>
      </c>
    </row>
    <row r="466" spans="1:11" x14ac:dyDescent="0.25">
      <c r="A466" s="4" t="s">
        <v>467</v>
      </c>
      <c r="B466" s="4">
        <v>148</v>
      </c>
      <c r="C466">
        <f t="shared" si="42"/>
        <v>0.74</v>
      </c>
      <c r="D466">
        <f t="shared" si="43"/>
        <v>330.7</v>
      </c>
      <c r="E466">
        <v>57.7</v>
      </c>
      <c r="G466">
        <f t="shared" si="44"/>
        <v>330.7</v>
      </c>
      <c r="H466" s="2">
        <f t="shared" si="45"/>
        <v>1.8447887323943661</v>
      </c>
      <c r="J466" s="2">
        <f t="shared" si="46"/>
        <v>3.0238887208950711</v>
      </c>
      <c r="K466" s="3">
        <f t="shared" si="47"/>
        <v>1.2247295254971842</v>
      </c>
    </row>
    <row r="467" spans="1:11" x14ac:dyDescent="0.25">
      <c r="A467" s="4" t="s">
        <v>468</v>
      </c>
      <c r="B467" s="4">
        <v>145</v>
      </c>
      <c r="C467">
        <f t="shared" si="42"/>
        <v>0.72499999999999998</v>
      </c>
      <c r="D467">
        <f t="shared" si="43"/>
        <v>330.7</v>
      </c>
      <c r="E467">
        <v>57.7</v>
      </c>
      <c r="G467">
        <f t="shared" si="44"/>
        <v>330.7</v>
      </c>
      <c r="H467" s="2">
        <f t="shared" si="45"/>
        <v>1.807394366197183</v>
      </c>
      <c r="J467" s="2">
        <f t="shared" si="46"/>
        <v>3.0238887208950711</v>
      </c>
      <c r="K467" s="3">
        <f t="shared" si="47"/>
        <v>1.1837724628101027</v>
      </c>
    </row>
    <row r="468" spans="1:11" x14ac:dyDescent="0.25">
      <c r="A468" s="4" t="s">
        <v>469</v>
      </c>
      <c r="B468" s="4">
        <v>147</v>
      </c>
      <c r="C468">
        <f t="shared" si="42"/>
        <v>0.73499999999999999</v>
      </c>
      <c r="D468">
        <f t="shared" si="43"/>
        <v>330.7</v>
      </c>
      <c r="E468">
        <v>57.7</v>
      </c>
      <c r="G468">
        <f t="shared" si="44"/>
        <v>330.7</v>
      </c>
      <c r="H468" s="2">
        <f t="shared" si="45"/>
        <v>1.8323239436619718</v>
      </c>
      <c r="J468" s="2">
        <f t="shared" si="46"/>
        <v>3.0238887208950711</v>
      </c>
      <c r="K468" s="3">
        <f t="shared" si="47"/>
        <v>1.2111701515264266</v>
      </c>
    </row>
    <row r="469" spans="1:11" x14ac:dyDescent="0.25">
      <c r="A469" s="4" t="s">
        <v>470</v>
      </c>
      <c r="B469" s="4">
        <v>145</v>
      </c>
      <c r="C469">
        <f t="shared" si="42"/>
        <v>0.72499999999999998</v>
      </c>
      <c r="D469">
        <f t="shared" si="43"/>
        <v>330.7</v>
      </c>
      <c r="E469">
        <v>57.7</v>
      </c>
      <c r="G469">
        <f t="shared" si="44"/>
        <v>330.7</v>
      </c>
      <c r="H469" s="2">
        <f t="shared" si="45"/>
        <v>1.807394366197183</v>
      </c>
      <c r="J469" s="2">
        <f t="shared" si="46"/>
        <v>3.0238887208950711</v>
      </c>
      <c r="K469" s="3">
        <f t="shared" si="47"/>
        <v>1.1837724628101027</v>
      </c>
    </row>
    <row r="470" spans="1:11" x14ac:dyDescent="0.25">
      <c r="A470" s="4" t="s">
        <v>471</v>
      </c>
      <c r="B470" s="4">
        <v>143</v>
      </c>
      <c r="C470">
        <f t="shared" si="42"/>
        <v>0.71499999999999997</v>
      </c>
      <c r="D470">
        <f t="shared" si="43"/>
        <v>330.7</v>
      </c>
      <c r="E470">
        <v>57.7</v>
      </c>
      <c r="G470">
        <f t="shared" si="44"/>
        <v>330.7</v>
      </c>
      <c r="H470" s="2">
        <f t="shared" si="45"/>
        <v>1.7824647887323946</v>
      </c>
      <c r="J470" s="2">
        <f t="shared" si="46"/>
        <v>3.0238887208950711</v>
      </c>
      <c r="K470" s="3">
        <f t="shared" si="47"/>
        <v>1.1559942384887689</v>
      </c>
    </row>
    <row r="471" spans="1:11" x14ac:dyDescent="0.25">
      <c r="A471" s="4" t="s">
        <v>472</v>
      </c>
      <c r="B471" s="4">
        <v>148</v>
      </c>
      <c r="C471">
        <f t="shared" si="42"/>
        <v>0.74</v>
      </c>
      <c r="D471">
        <f t="shared" si="43"/>
        <v>330.7</v>
      </c>
      <c r="E471">
        <v>57.7</v>
      </c>
      <c r="G471">
        <f t="shared" si="44"/>
        <v>330.7</v>
      </c>
      <c r="H471" s="2">
        <f t="shared" si="45"/>
        <v>1.8447887323943661</v>
      </c>
      <c r="J471" s="2">
        <f t="shared" si="46"/>
        <v>3.0238887208950711</v>
      </c>
      <c r="K471" s="3">
        <f t="shared" si="47"/>
        <v>1.2247295254971842</v>
      </c>
    </row>
    <row r="472" spans="1:11" x14ac:dyDescent="0.25">
      <c r="A472" s="4" t="s">
        <v>473</v>
      </c>
      <c r="B472" s="4">
        <v>145</v>
      </c>
      <c r="C472">
        <f t="shared" si="42"/>
        <v>0.72499999999999998</v>
      </c>
      <c r="D472">
        <f t="shared" si="43"/>
        <v>330.7</v>
      </c>
      <c r="E472">
        <v>57.7</v>
      </c>
      <c r="G472">
        <f t="shared" si="44"/>
        <v>330.7</v>
      </c>
      <c r="H472" s="2">
        <f t="shared" si="45"/>
        <v>1.807394366197183</v>
      </c>
      <c r="J472" s="2">
        <f t="shared" si="46"/>
        <v>3.0238887208950711</v>
      </c>
      <c r="K472" s="3">
        <f t="shared" si="47"/>
        <v>1.1837724628101027</v>
      </c>
    </row>
    <row r="473" spans="1:11" x14ac:dyDescent="0.25">
      <c r="A473" s="4" t="s">
        <v>474</v>
      </c>
      <c r="B473" s="4">
        <v>145</v>
      </c>
      <c r="C473">
        <f t="shared" si="42"/>
        <v>0.72499999999999998</v>
      </c>
      <c r="D473">
        <f t="shared" si="43"/>
        <v>330.7</v>
      </c>
      <c r="E473">
        <v>57.7</v>
      </c>
      <c r="G473">
        <f t="shared" si="44"/>
        <v>330.7</v>
      </c>
      <c r="H473" s="2">
        <f t="shared" si="45"/>
        <v>1.807394366197183</v>
      </c>
      <c r="J473" s="2">
        <f t="shared" si="46"/>
        <v>3.0238887208950711</v>
      </c>
      <c r="K473" s="3">
        <f t="shared" si="47"/>
        <v>1.1837724628101027</v>
      </c>
    </row>
    <row r="474" spans="1:11" x14ac:dyDescent="0.25">
      <c r="A474" s="4" t="s">
        <v>475</v>
      </c>
      <c r="B474" s="4">
        <v>145</v>
      </c>
      <c r="C474">
        <f t="shared" si="42"/>
        <v>0.72499999999999998</v>
      </c>
      <c r="D474">
        <f t="shared" si="43"/>
        <v>330.6</v>
      </c>
      <c r="E474">
        <v>57.6</v>
      </c>
      <c r="G474">
        <f t="shared" si="44"/>
        <v>330.6</v>
      </c>
      <c r="H474" s="2">
        <f t="shared" si="45"/>
        <v>1.807394366197183</v>
      </c>
      <c r="J474" s="2">
        <f t="shared" si="46"/>
        <v>3.024803387779794</v>
      </c>
      <c r="K474" s="3">
        <f t="shared" si="47"/>
        <v>1.1837724628101027</v>
      </c>
    </row>
    <row r="475" spans="1:11" x14ac:dyDescent="0.25">
      <c r="A475" s="4" t="s">
        <v>476</v>
      </c>
      <c r="B475" s="4">
        <v>145</v>
      </c>
      <c r="C475">
        <f t="shared" si="42"/>
        <v>0.72499999999999998</v>
      </c>
      <c r="D475">
        <f t="shared" si="43"/>
        <v>330.6</v>
      </c>
      <c r="E475">
        <v>57.6</v>
      </c>
      <c r="G475">
        <f t="shared" si="44"/>
        <v>330.6</v>
      </c>
      <c r="H475" s="2">
        <f t="shared" si="45"/>
        <v>1.807394366197183</v>
      </c>
      <c r="J475" s="2">
        <f t="shared" si="46"/>
        <v>3.024803387779794</v>
      </c>
      <c r="K475" s="3">
        <f t="shared" si="47"/>
        <v>1.1837724628101027</v>
      </c>
    </row>
    <row r="476" spans="1:11" x14ac:dyDescent="0.25">
      <c r="A476" s="4" t="s">
        <v>477</v>
      </c>
      <c r="B476" s="4">
        <v>146</v>
      </c>
      <c r="C476">
        <f t="shared" si="42"/>
        <v>0.73</v>
      </c>
      <c r="D476">
        <f t="shared" si="43"/>
        <v>330.6</v>
      </c>
      <c r="E476">
        <v>57.6</v>
      </c>
      <c r="G476">
        <f t="shared" si="44"/>
        <v>330.6</v>
      </c>
      <c r="H476" s="2">
        <f t="shared" si="45"/>
        <v>1.8198591549295775</v>
      </c>
      <c r="J476" s="2">
        <f t="shared" si="46"/>
        <v>3.024803387779794</v>
      </c>
      <c r="K476" s="3">
        <f t="shared" si="47"/>
        <v>1.197518221385627</v>
      </c>
    </row>
    <row r="477" spans="1:11" x14ac:dyDescent="0.25">
      <c r="A477" s="4" t="s">
        <v>478</v>
      </c>
      <c r="B477" s="4">
        <v>143</v>
      </c>
      <c r="C477">
        <f t="shared" si="42"/>
        <v>0.71499999999999997</v>
      </c>
      <c r="D477">
        <f t="shared" si="43"/>
        <v>330.4</v>
      </c>
      <c r="E477">
        <v>57.4</v>
      </c>
      <c r="G477">
        <f t="shared" si="44"/>
        <v>330.4</v>
      </c>
      <c r="H477" s="2">
        <f t="shared" si="45"/>
        <v>1.7824647887323946</v>
      </c>
      <c r="J477" s="2">
        <f t="shared" si="46"/>
        <v>3.026634382566586</v>
      </c>
      <c r="K477" s="3">
        <f t="shared" si="47"/>
        <v>1.1559942384887689</v>
      </c>
    </row>
    <row r="478" spans="1:11" x14ac:dyDescent="0.25">
      <c r="A478" s="4" t="s">
        <v>479</v>
      </c>
      <c r="B478" s="4">
        <v>144</v>
      </c>
      <c r="C478">
        <f t="shared" si="42"/>
        <v>0.72</v>
      </c>
      <c r="D478">
        <f t="shared" si="43"/>
        <v>330.4</v>
      </c>
      <c r="E478">
        <v>57.4</v>
      </c>
      <c r="G478">
        <f t="shared" si="44"/>
        <v>330.4</v>
      </c>
      <c r="H478" s="2">
        <f t="shared" si="45"/>
        <v>1.7949295774647887</v>
      </c>
      <c r="J478" s="2">
        <f t="shared" si="46"/>
        <v>3.026634382566586</v>
      </c>
      <c r="K478" s="3">
        <f t="shared" si="47"/>
        <v>1.1699315771209553</v>
      </c>
    </row>
    <row r="479" spans="1:11" x14ac:dyDescent="0.25">
      <c r="A479" s="4" t="s">
        <v>480</v>
      </c>
      <c r="B479" s="4">
        <v>145</v>
      </c>
      <c r="C479">
        <f t="shared" si="42"/>
        <v>0.72499999999999998</v>
      </c>
      <c r="D479">
        <f t="shared" si="43"/>
        <v>330.4</v>
      </c>
      <c r="E479">
        <v>57.4</v>
      </c>
      <c r="G479">
        <f t="shared" si="44"/>
        <v>330.4</v>
      </c>
      <c r="H479" s="2">
        <f t="shared" si="45"/>
        <v>1.807394366197183</v>
      </c>
      <c r="J479" s="2">
        <f t="shared" si="46"/>
        <v>3.026634382566586</v>
      </c>
      <c r="K479" s="3">
        <f t="shared" si="47"/>
        <v>1.1837724628101027</v>
      </c>
    </row>
    <row r="480" spans="1:11" x14ac:dyDescent="0.25">
      <c r="A480" s="4" t="s">
        <v>481</v>
      </c>
      <c r="B480" s="4">
        <v>144</v>
      </c>
      <c r="C480">
        <f t="shared" si="42"/>
        <v>0.72</v>
      </c>
      <c r="D480">
        <f t="shared" si="43"/>
        <v>330.2</v>
      </c>
      <c r="E480">
        <v>57.2</v>
      </c>
      <c r="G480">
        <f t="shared" si="44"/>
        <v>330.2</v>
      </c>
      <c r="H480" s="2">
        <f t="shared" si="45"/>
        <v>1.7949295774647887</v>
      </c>
      <c r="J480" s="2">
        <f t="shared" si="46"/>
        <v>3.0284675953967293</v>
      </c>
      <c r="K480" s="3">
        <f t="shared" si="47"/>
        <v>1.1699315771209553</v>
      </c>
    </row>
    <row r="481" spans="1:11" x14ac:dyDescent="0.25">
      <c r="A481" s="4" t="s">
        <v>482</v>
      </c>
      <c r="B481" s="4">
        <v>144</v>
      </c>
      <c r="C481">
        <f t="shared" si="42"/>
        <v>0.72</v>
      </c>
      <c r="D481">
        <f t="shared" si="43"/>
        <v>330.2</v>
      </c>
      <c r="E481">
        <v>57.2</v>
      </c>
      <c r="G481">
        <f t="shared" si="44"/>
        <v>330.2</v>
      </c>
      <c r="H481" s="2">
        <f t="shared" si="45"/>
        <v>1.7949295774647887</v>
      </c>
      <c r="J481" s="2">
        <f t="shared" si="46"/>
        <v>3.0284675953967293</v>
      </c>
      <c r="K481" s="3">
        <f t="shared" si="47"/>
        <v>1.1699315771209553</v>
      </c>
    </row>
    <row r="482" spans="1:11" x14ac:dyDescent="0.25">
      <c r="A482" s="4" t="s">
        <v>483</v>
      </c>
      <c r="B482" s="4">
        <v>143</v>
      </c>
      <c r="C482">
        <f t="shared" si="42"/>
        <v>0.71499999999999997</v>
      </c>
      <c r="D482">
        <f t="shared" si="43"/>
        <v>330.2</v>
      </c>
      <c r="E482">
        <v>57.2</v>
      </c>
      <c r="G482">
        <f t="shared" si="44"/>
        <v>330.2</v>
      </c>
      <c r="H482" s="2">
        <f t="shared" si="45"/>
        <v>1.7824647887323946</v>
      </c>
      <c r="J482" s="2">
        <f t="shared" si="46"/>
        <v>3.0284675953967293</v>
      </c>
      <c r="K482" s="3">
        <f t="shared" si="47"/>
        <v>1.1559942384887689</v>
      </c>
    </row>
    <row r="483" spans="1:11" x14ac:dyDescent="0.25">
      <c r="A483" s="4" t="s">
        <v>484</v>
      </c>
      <c r="B483" s="4">
        <v>144</v>
      </c>
      <c r="C483">
        <f t="shared" si="42"/>
        <v>0.72</v>
      </c>
      <c r="D483">
        <f t="shared" si="43"/>
        <v>330.1</v>
      </c>
      <c r="E483">
        <v>57.1</v>
      </c>
      <c r="G483">
        <f t="shared" si="44"/>
        <v>330.1</v>
      </c>
      <c r="H483" s="2">
        <f t="shared" si="45"/>
        <v>1.7949295774647887</v>
      </c>
      <c r="J483" s="2">
        <f t="shared" si="46"/>
        <v>3.0293850348379276</v>
      </c>
      <c r="K483" s="3">
        <f t="shared" si="47"/>
        <v>1.1699315771209553</v>
      </c>
    </row>
    <row r="484" spans="1:11" x14ac:dyDescent="0.25">
      <c r="A484" s="4" t="s">
        <v>485</v>
      </c>
      <c r="B484" s="4">
        <v>146</v>
      </c>
      <c r="C484">
        <f t="shared" si="42"/>
        <v>0.73</v>
      </c>
      <c r="D484">
        <f t="shared" si="43"/>
        <v>330.1</v>
      </c>
      <c r="E484">
        <v>57.1</v>
      </c>
      <c r="G484">
        <f t="shared" si="44"/>
        <v>330.1</v>
      </c>
      <c r="H484" s="2">
        <f t="shared" si="45"/>
        <v>1.8198591549295775</v>
      </c>
      <c r="J484" s="2">
        <f t="shared" si="46"/>
        <v>3.0293850348379276</v>
      </c>
      <c r="K484" s="3">
        <f t="shared" si="47"/>
        <v>1.197518221385627</v>
      </c>
    </row>
    <row r="485" spans="1:11" x14ac:dyDescent="0.25">
      <c r="A485" s="4" t="s">
        <v>486</v>
      </c>
      <c r="B485" s="4">
        <v>144</v>
      </c>
      <c r="C485">
        <f t="shared" si="42"/>
        <v>0.72</v>
      </c>
      <c r="D485">
        <f t="shared" si="43"/>
        <v>330.1</v>
      </c>
      <c r="E485">
        <v>57.1</v>
      </c>
      <c r="G485">
        <f t="shared" si="44"/>
        <v>330.1</v>
      </c>
      <c r="H485" s="2">
        <f t="shared" si="45"/>
        <v>1.7949295774647887</v>
      </c>
      <c r="J485" s="2">
        <f t="shared" si="46"/>
        <v>3.0293850348379276</v>
      </c>
      <c r="K485" s="3">
        <f t="shared" si="47"/>
        <v>1.1699315771209553</v>
      </c>
    </row>
    <row r="486" spans="1:11" x14ac:dyDescent="0.25">
      <c r="A486" s="4" t="s">
        <v>487</v>
      </c>
      <c r="B486" s="4">
        <v>145</v>
      </c>
      <c r="C486">
        <f t="shared" si="42"/>
        <v>0.72499999999999998</v>
      </c>
      <c r="D486">
        <f t="shared" si="43"/>
        <v>329.9</v>
      </c>
      <c r="E486">
        <v>56.9</v>
      </c>
      <c r="G486">
        <f t="shared" si="44"/>
        <v>329.9</v>
      </c>
      <c r="H486" s="2">
        <f t="shared" si="45"/>
        <v>1.807394366197183</v>
      </c>
      <c r="J486" s="2">
        <f t="shared" si="46"/>
        <v>3.031221582297666</v>
      </c>
      <c r="K486" s="3">
        <f t="shared" si="47"/>
        <v>1.1837724628101027</v>
      </c>
    </row>
    <row r="487" spans="1:11" x14ac:dyDescent="0.25">
      <c r="A487" s="4" t="s">
        <v>488</v>
      </c>
      <c r="B487" s="4">
        <v>145</v>
      </c>
      <c r="C487">
        <f t="shared" si="42"/>
        <v>0.72499999999999998</v>
      </c>
      <c r="D487">
        <f t="shared" si="43"/>
        <v>329.9</v>
      </c>
      <c r="E487">
        <v>56.9</v>
      </c>
      <c r="G487">
        <f t="shared" si="44"/>
        <v>329.9</v>
      </c>
      <c r="H487" s="2">
        <f t="shared" si="45"/>
        <v>1.807394366197183</v>
      </c>
      <c r="J487" s="2">
        <f t="shared" si="46"/>
        <v>3.031221582297666</v>
      </c>
      <c r="K487" s="3">
        <f t="shared" si="47"/>
        <v>1.1837724628101027</v>
      </c>
    </row>
    <row r="488" spans="1:11" x14ac:dyDescent="0.25">
      <c r="A488" s="4" t="s">
        <v>489</v>
      </c>
      <c r="B488" s="4">
        <v>144</v>
      </c>
      <c r="C488">
        <f t="shared" si="42"/>
        <v>0.72</v>
      </c>
      <c r="D488">
        <f t="shared" si="43"/>
        <v>329.9</v>
      </c>
      <c r="E488">
        <v>56.9</v>
      </c>
      <c r="G488">
        <f t="shared" si="44"/>
        <v>329.9</v>
      </c>
      <c r="H488" s="2">
        <f t="shared" si="45"/>
        <v>1.7949295774647887</v>
      </c>
      <c r="J488" s="2">
        <f t="shared" si="46"/>
        <v>3.031221582297666</v>
      </c>
      <c r="K488" s="3">
        <f t="shared" si="47"/>
        <v>1.1699315771209553</v>
      </c>
    </row>
    <row r="489" spans="1:11" x14ac:dyDescent="0.25">
      <c r="A489" s="4" t="s">
        <v>490</v>
      </c>
      <c r="B489" s="4">
        <v>144</v>
      </c>
      <c r="C489">
        <f t="shared" si="42"/>
        <v>0.72</v>
      </c>
      <c r="D489">
        <f t="shared" si="43"/>
        <v>329.9</v>
      </c>
      <c r="E489">
        <v>56.9</v>
      </c>
      <c r="G489">
        <f t="shared" si="44"/>
        <v>329.9</v>
      </c>
      <c r="H489" s="2">
        <f t="shared" si="45"/>
        <v>1.7949295774647887</v>
      </c>
      <c r="J489" s="2">
        <f t="shared" si="46"/>
        <v>3.031221582297666</v>
      </c>
      <c r="K489" s="3">
        <f t="shared" si="47"/>
        <v>1.1699315771209553</v>
      </c>
    </row>
    <row r="490" spans="1:11" x14ac:dyDescent="0.25">
      <c r="A490" s="4" t="s">
        <v>491</v>
      </c>
      <c r="B490" s="4">
        <v>144</v>
      </c>
      <c r="C490">
        <f t="shared" si="42"/>
        <v>0.72</v>
      </c>
      <c r="D490">
        <f t="shared" si="43"/>
        <v>329.8</v>
      </c>
      <c r="E490">
        <v>56.8</v>
      </c>
      <c r="G490">
        <f t="shared" si="44"/>
        <v>329.8</v>
      </c>
      <c r="H490" s="2">
        <f t="shared" si="45"/>
        <v>1.7949295774647887</v>
      </c>
      <c r="J490" s="2">
        <f t="shared" si="46"/>
        <v>3.0321406913280775</v>
      </c>
      <c r="K490" s="3">
        <f t="shared" si="47"/>
        <v>1.1699315771209553</v>
      </c>
    </row>
    <row r="491" spans="1:11" x14ac:dyDescent="0.25">
      <c r="A491" s="4" t="s">
        <v>492</v>
      </c>
      <c r="B491" s="4">
        <v>144</v>
      </c>
      <c r="C491">
        <f t="shared" si="42"/>
        <v>0.72</v>
      </c>
      <c r="D491">
        <f t="shared" si="43"/>
        <v>329.8</v>
      </c>
      <c r="E491">
        <v>56.8</v>
      </c>
      <c r="G491">
        <f t="shared" si="44"/>
        <v>329.8</v>
      </c>
      <c r="H491" s="2">
        <f t="shared" si="45"/>
        <v>1.7949295774647887</v>
      </c>
      <c r="J491" s="2">
        <f t="shared" si="46"/>
        <v>3.0321406913280775</v>
      </c>
      <c r="K491" s="3">
        <f t="shared" si="47"/>
        <v>1.1699315771209553</v>
      </c>
    </row>
    <row r="492" spans="1:11" x14ac:dyDescent="0.25">
      <c r="A492" s="4" t="s">
        <v>493</v>
      </c>
      <c r="B492" s="4">
        <v>144</v>
      </c>
      <c r="C492">
        <f t="shared" si="42"/>
        <v>0.72</v>
      </c>
      <c r="D492">
        <f t="shared" si="43"/>
        <v>329.8</v>
      </c>
      <c r="E492">
        <v>56.8</v>
      </c>
      <c r="G492">
        <f t="shared" si="44"/>
        <v>329.8</v>
      </c>
      <c r="H492" s="2">
        <f t="shared" si="45"/>
        <v>1.7949295774647887</v>
      </c>
      <c r="J492" s="2">
        <f t="shared" si="46"/>
        <v>3.0321406913280775</v>
      </c>
      <c r="K492" s="3">
        <f t="shared" si="47"/>
        <v>1.1699315771209553</v>
      </c>
    </row>
    <row r="493" spans="1:11" x14ac:dyDescent="0.25">
      <c r="A493" s="4" t="s">
        <v>494</v>
      </c>
      <c r="B493" s="4">
        <v>143</v>
      </c>
      <c r="C493">
        <f t="shared" si="42"/>
        <v>0.71499999999999997</v>
      </c>
      <c r="D493">
        <f t="shared" si="43"/>
        <v>329.8</v>
      </c>
      <c r="E493">
        <v>56.8</v>
      </c>
      <c r="G493">
        <f t="shared" si="44"/>
        <v>329.8</v>
      </c>
      <c r="H493" s="2">
        <f t="shared" si="45"/>
        <v>1.7824647887323946</v>
      </c>
      <c r="J493" s="2">
        <f t="shared" si="46"/>
        <v>3.0321406913280775</v>
      </c>
      <c r="K493" s="3">
        <f t="shared" si="47"/>
        <v>1.1559942384887689</v>
      </c>
    </row>
    <row r="494" spans="1:11" x14ac:dyDescent="0.25">
      <c r="A494" s="4" t="s">
        <v>495</v>
      </c>
      <c r="B494" s="4">
        <v>143</v>
      </c>
      <c r="C494">
        <f t="shared" si="42"/>
        <v>0.71499999999999997</v>
      </c>
      <c r="D494">
        <f t="shared" si="43"/>
        <v>329.8</v>
      </c>
      <c r="E494">
        <v>56.8</v>
      </c>
      <c r="G494">
        <f t="shared" si="44"/>
        <v>329.8</v>
      </c>
      <c r="H494" s="2">
        <f t="shared" si="45"/>
        <v>1.7824647887323946</v>
      </c>
      <c r="J494" s="2">
        <f t="shared" si="46"/>
        <v>3.0321406913280775</v>
      </c>
      <c r="K494" s="3">
        <f t="shared" si="47"/>
        <v>1.1559942384887689</v>
      </c>
    </row>
    <row r="495" spans="1:11" x14ac:dyDescent="0.25">
      <c r="A495" s="4" t="s">
        <v>496</v>
      </c>
      <c r="B495" s="4">
        <v>144</v>
      </c>
      <c r="C495">
        <f t="shared" si="42"/>
        <v>0.72</v>
      </c>
      <c r="D495">
        <f t="shared" si="43"/>
        <v>329.8</v>
      </c>
      <c r="E495">
        <v>56.8</v>
      </c>
      <c r="G495">
        <f t="shared" si="44"/>
        <v>329.8</v>
      </c>
      <c r="H495" s="2">
        <f t="shared" si="45"/>
        <v>1.7949295774647887</v>
      </c>
      <c r="J495" s="2">
        <f t="shared" si="46"/>
        <v>3.0321406913280775</v>
      </c>
      <c r="K495" s="3">
        <f t="shared" si="47"/>
        <v>1.1699315771209553</v>
      </c>
    </row>
    <row r="496" spans="1:11" x14ac:dyDescent="0.25">
      <c r="A496" s="4" t="s">
        <v>497</v>
      </c>
      <c r="B496" s="4">
        <v>144</v>
      </c>
      <c r="C496">
        <f t="shared" si="42"/>
        <v>0.72</v>
      </c>
      <c r="D496">
        <f t="shared" si="43"/>
        <v>329.8</v>
      </c>
      <c r="E496">
        <v>56.8</v>
      </c>
      <c r="G496">
        <f t="shared" si="44"/>
        <v>329.8</v>
      </c>
      <c r="H496" s="2">
        <f t="shared" si="45"/>
        <v>1.7949295774647887</v>
      </c>
      <c r="J496" s="2">
        <f t="shared" si="46"/>
        <v>3.0321406913280775</v>
      </c>
      <c r="K496" s="3">
        <f t="shared" si="47"/>
        <v>1.1699315771209553</v>
      </c>
    </row>
    <row r="497" spans="1:11" x14ac:dyDescent="0.25">
      <c r="A497" s="4" t="s">
        <v>498</v>
      </c>
      <c r="B497" s="4">
        <v>143</v>
      </c>
      <c r="C497">
        <f t="shared" si="42"/>
        <v>0.71499999999999997</v>
      </c>
      <c r="D497">
        <f t="shared" si="43"/>
        <v>329.8</v>
      </c>
      <c r="E497">
        <v>56.8</v>
      </c>
      <c r="G497">
        <f t="shared" si="44"/>
        <v>329.8</v>
      </c>
      <c r="H497" s="2">
        <f t="shared" si="45"/>
        <v>1.7824647887323946</v>
      </c>
      <c r="J497" s="2">
        <f t="shared" si="46"/>
        <v>3.0321406913280775</v>
      </c>
      <c r="K497" s="3">
        <f t="shared" si="47"/>
        <v>1.1559942384887689</v>
      </c>
    </row>
    <row r="498" spans="1:11" x14ac:dyDescent="0.25">
      <c r="A498" s="4" t="s">
        <v>499</v>
      </c>
      <c r="B498" s="4">
        <v>144</v>
      </c>
      <c r="C498">
        <f t="shared" si="42"/>
        <v>0.72</v>
      </c>
      <c r="D498">
        <f t="shared" si="43"/>
        <v>329.8</v>
      </c>
      <c r="E498">
        <v>56.8</v>
      </c>
      <c r="G498">
        <f t="shared" si="44"/>
        <v>329.8</v>
      </c>
      <c r="H498" s="2">
        <f t="shared" si="45"/>
        <v>1.7949295774647887</v>
      </c>
      <c r="J498" s="2">
        <f t="shared" si="46"/>
        <v>3.0321406913280775</v>
      </c>
      <c r="K498" s="3">
        <f t="shared" si="47"/>
        <v>1.1699315771209553</v>
      </c>
    </row>
    <row r="499" spans="1:11" x14ac:dyDescent="0.25">
      <c r="A499" s="4" t="s">
        <v>500</v>
      </c>
      <c r="B499" s="4">
        <v>144</v>
      </c>
      <c r="C499">
        <f t="shared" si="42"/>
        <v>0.72</v>
      </c>
      <c r="D499">
        <f t="shared" si="43"/>
        <v>329.4</v>
      </c>
      <c r="E499">
        <v>56.4</v>
      </c>
      <c r="G499">
        <f t="shared" si="44"/>
        <v>329.4</v>
      </c>
      <c r="H499" s="2">
        <f t="shared" si="45"/>
        <v>1.7949295774647887</v>
      </c>
      <c r="J499" s="2">
        <f t="shared" si="46"/>
        <v>3.0358227079538556</v>
      </c>
      <c r="K499" s="3">
        <f t="shared" si="47"/>
        <v>1.1699315771209553</v>
      </c>
    </row>
    <row r="500" spans="1:11" x14ac:dyDescent="0.25">
      <c r="A500" s="4" t="s">
        <v>501</v>
      </c>
      <c r="B500" s="4">
        <v>143</v>
      </c>
      <c r="C500">
        <f t="shared" si="42"/>
        <v>0.71499999999999997</v>
      </c>
      <c r="D500">
        <f t="shared" si="43"/>
        <v>329.4</v>
      </c>
      <c r="E500">
        <v>56.4</v>
      </c>
      <c r="G500">
        <f t="shared" si="44"/>
        <v>329.4</v>
      </c>
      <c r="H500" s="2">
        <f t="shared" si="45"/>
        <v>1.7824647887323946</v>
      </c>
      <c r="J500" s="2">
        <f t="shared" si="46"/>
        <v>3.0358227079538556</v>
      </c>
      <c r="K500" s="3">
        <f t="shared" si="47"/>
        <v>1.1559942384887689</v>
      </c>
    </row>
    <row r="501" spans="1:11" x14ac:dyDescent="0.25">
      <c r="A501" s="4" t="s">
        <v>502</v>
      </c>
      <c r="B501" s="4">
        <v>143</v>
      </c>
      <c r="C501">
        <f t="shared" si="42"/>
        <v>0.71499999999999997</v>
      </c>
      <c r="D501">
        <f t="shared" si="43"/>
        <v>329.4</v>
      </c>
      <c r="E501">
        <v>56.4</v>
      </c>
      <c r="G501">
        <f t="shared" si="44"/>
        <v>329.4</v>
      </c>
      <c r="H501" s="2">
        <f t="shared" si="45"/>
        <v>1.7824647887323946</v>
      </c>
      <c r="J501" s="2">
        <f t="shared" si="46"/>
        <v>3.0358227079538556</v>
      </c>
      <c r="K501" s="3">
        <f t="shared" si="47"/>
        <v>1.1559942384887689</v>
      </c>
    </row>
    <row r="502" spans="1:11" x14ac:dyDescent="0.25">
      <c r="A502" s="4" t="s">
        <v>503</v>
      </c>
      <c r="B502" s="4">
        <v>142</v>
      </c>
      <c r="C502">
        <f t="shared" si="42"/>
        <v>0.71</v>
      </c>
      <c r="D502">
        <f t="shared" si="43"/>
        <v>329.2</v>
      </c>
      <c r="E502">
        <v>56.2</v>
      </c>
      <c r="G502">
        <f t="shared" si="44"/>
        <v>329.2</v>
      </c>
      <c r="H502" s="2">
        <f t="shared" si="45"/>
        <v>1.77</v>
      </c>
      <c r="J502" s="2">
        <f t="shared" si="46"/>
        <v>3.0376670716889431</v>
      </c>
      <c r="K502" s="3">
        <f t="shared" si="47"/>
        <v>1.1419590931714756</v>
      </c>
    </row>
    <row r="503" spans="1:11" x14ac:dyDescent="0.25">
      <c r="A503" s="4" t="s">
        <v>504</v>
      </c>
      <c r="B503" s="4">
        <v>142</v>
      </c>
      <c r="C503">
        <f t="shared" si="42"/>
        <v>0.71</v>
      </c>
      <c r="D503">
        <f t="shared" si="43"/>
        <v>329.2</v>
      </c>
      <c r="E503">
        <v>56.2</v>
      </c>
      <c r="G503">
        <f t="shared" si="44"/>
        <v>329.2</v>
      </c>
      <c r="H503" s="2">
        <f t="shared" si="45"/>
        <v>1.77</v>
      </c>
      <c r="J503" s="2">
        <f t="shared" si="46"/>
        <v>3.0376670716889431</v>
      </c>
      <c r="K503" s="3">
        <f t="shared" si="47"/>
        <v>1.1419590931714756</v>
      </c>
    </row>
    <row r="504" spans="1:11" x14ac:dyDescent="0.25">
      <c r="A504" s="4" t="s">
        <v>505</v>
      </c>
      <c r="B504" s="4">
        <v>144</v>
      </c>
      <c r="C504">
        <f t="shared" si="42"/>
        <v>0.72</v>
      </c>
      <c r="D504">
        <f t="shared" si="43"/>
        <v>329.2</v>
      </c>
      <c r="E504">
        <v>56.2</v>
      </c>
      <c r="G504">
        <f t="shared" si="44"/>
        <v>329.2</v>
      </c>
      <c r="H504" s="2">
        <f t="shared" si="45"/>
        <v>1.7949295774647887</v>
      </c>
      <c r="J504" s="2">
        <f t="shared" si="46"/>
        <v>3.0376670716889431</v>
      </c>
      <c r="K504" s="3">
        <f t="shared" si="47"/>
        <v>1.1699315771209553</v>
      </c>
    </row>
    <row r="505" spans="1:11" x14ac:dyDescent="0.25">
      <c r="A505" s="4" t="s">
        <v>506</v>
      </c>
      <c r="B505" s="4">
        <v>142</v>
      </c>
      <c r="C505">
        <f t="shared" si="42"/>
        <v>0.71</v>
      </c>
      <c r="D505">
        <f t="shared" si="43"/>
        <v>329.2</v>
      </c>
      <c r="E505">
        <v>56.2</v>
      </c>
      <c r="G505">
        <f t="shared" si="44"/>
        <v>329.2</v>
      </c>
      <c r="H505" s="2">
        <f t="shared" si="45"/>
        <v>1.77</v>
      </c>
      <c r="J505" s="2">
        <f t="shared" si="46"/>
        <v>3.0376670716889431</v>
      </c>
      <c r="K505" s="3">
        <f t="shared" si="47"/>
        <v>1.1419590931714756</v>
      </c>
    </row>
    <row r="506" spans="1:11" x14ac:dyDescent="0.25">
      <c r="A506" s="4" t="s">
        <v>507</v>
      </c>
      <c r="B506" s="4">
        <v>144</v>
      </c>
      <c r="C506">
        <f t="shared" si="42"/>
        <v>0.72</v>
      </c>
      <c r="D506">
        <f t="shared" si="43"/>
        <v>329.2</v>
      </c>
      <c r="E506">
        <v>56.2</v>
      </c>
      <c r="G506">
        <f t="shared" si="44"/>
        <v>329.2</v>
      </c>
      <c r="H506" s="2">
        <f t="shared" si="45"/>
        <v>1.7949295774647887</v>
      </c>
      <c r="J506" s="2">
        <f t="shared" si="46"/>
        <v>3.0376670716889431</v>
      </c>
      <c r="K506" s="3">
        <f t="shared" si="47"/>
        <v>1.1699315771209553</v>
      </c>
    </row>
    <row r="507" spans="1:11" x14ac:dyDescent="0.25">
      <c r="A507" s="4" t="s">
        <v>508</v>
      </c>
      <c r="B507" s="4">
        <v>143</v>
      </c>
      <c r="C507">
        <f t="shared" si="42"/>
        <v>0.71499999999999997</v>
      </c>
      <c r="D507">
        <f t="shared" si="43"/>
        <v>329.2</v>
      </c>
      <c r="E507">
        <v>56.2</v>
      </c>
      <c r="G507">
        <f t="shared" si="44"/>
        <v>329.2</v>
      </c>
      <c r="H507" s="2">
        <f t="shared" si="45"/>
        <v>1.7824647887323946</v>
      </c>
      <c r="J507" s="2">
        <f t="shared" si="46"/>
        <v>3.0376670716889431</v>
      </c>
      <c r="K507" s="3">
        <f t="shared" si="47"/>
        <v>1.1559942384887689</v>
      </c>
    </row>
    <row r="508" spans="1:11" x14ac:dyDescent="0.25">
      <c r="A508" s="4" t="s">
        <v>509</v>
      </c>
      <c r="B508" s="4">
        <v>143</v>
      </c>
      <c r="C508">
        <f t="shared" si="42"/>
        <v>0.71499999999999997</v>
      </c>
      <c r="D508">
        <f t="shared" si="43"/>
        <v>329.2</v>
      </c>
      <c r="E508">
        <v>56.2</v>
      </c>
      <c r="G508">
        <f t="shared" si="44"/>
        <v>329.2</v>
      </c>
      <c r="H508" s="2">
        <f t="shared" si="45"/>
        <v>1.7824647887323946</v>
      </c>
      <c r="J508" s="2">
        <f t="shared" si="46"/>
        <v>3.0376670716889431</v>
      </c>
      <c r="K508" s="3">
        <f t="shared" si="47"/>
        <v>1.1559942384887689</v>
      </c>
    </row>
    <row r="509" spans="1:11" x14ac:dyDescent="0.25">
      <c r="A509" s="4" t="s">
        <v>510</v>
      </c>
      <c r="B509" s="4">
        <v>141</v>
      </c>
      <c r="C509">
        <f t="shared" si="42"/>
        <v>0.70499999999999996</v>
      </c>
      <c r="D509">
        <f t="shared" si="43"/>
        <v>328.9</v>
      </c>
      <c r="E509">
        <v>55.9</v>
      </c>
      <c r="G509">
        <f t="shared" si="44"/>
        <v>328.9</v>
      </c>
      <c r="H509" s="2">
        <f t="shared" si="45"/>
        <v>1.7575352112676055</v>
      </c>
      <c r="J509" s="2">
        <f t="shared" si="46"/>
        <v>3.0404378230465188</v>
      </c>
      <c r="K509" s="3">
        <f t="shared" si="47"/>
        <v>1.1278247587252903</v>
      </c>
    </row>
    <row r="510" spans="1:11" x14ac:dyDescent="0.25">
      <c r="A510" s="4" t="s">
        <v>511</v>
      </c>
      <c r="B510" s="4">
        <v>143</v>
      </c>
      <c r="C510">
        <f t="shared" si="42"/>
        <v>0.71499999999999997</v>
      </c>
      <c r="D510">
        <f t="shared" si="43"/>
        <v>328.9</v>
      </c>
      <c r="E510">
        <v>55.9</v>
      </c>
      <c r="G510">
        <f t="shared" si="44"/>
        <v>328.9</v>
      </c>
      <c r="H510" s="2">
        <f t="shared" si="45"/>
        <v>1.7824647887323946</v>
      </c>
      <c r="J510" s="2">
        <f t="shared" si="46"/>
        <v>3.0404378230465188</v>
      </c>
      <c r="K510" s="3">
        <f t="shared" si="47"/>
        <v>1.1559942384887689</v>
      </c>
    </row>
    <row r="511" spans="1:11" x14ac:dyDescent="0.25">
      <c r="A511" s="4" t="s">
        <v>512</v>
      </c>
      <c r="B511" s="4">
        <v>143</v>
      </c>
      <c r="C511">
        <f t="shared" si="42"/>
        <v>0.71499999999999997</v>
      </c>
      <c r="D511">
        <f t="shared" si="43"/>
        <v>328.9</v>
      </c>
      <c r="E511">
        <v>55.9</v>
      </c>
      <c r="G511">
        <f t="shared" si="44"/>
        <v>328.9</v>
      </c>
      <c r="H511" s="2">
        <f t="shared" si="45"/>
        <v>1.7824647887323946</v>
      </c>
      <c r="J511" s="2">
        <f t="shared" si="46"/>
        <v>3.0404378230465188</v>
      </c>
      <c r="K511" s="3">
        <f t="shared" si="47"/>
        <v>1.1559942384887689</v>
      </c>
    </row>
    <row r="512" spans="1:11" x14ac:dyDescent="0.25">
      <c r="A512" s="4" t="s">
        <v>513</v>
      </c>
      <c r="B512" s="4">
        <v>144</v>
      </c>
      <c r="C512">
        <f t="shared" si="42"/>
        <v>0.72</v>
      </c>
      <c r="D512">
        <f t="shared" si="43"/>
        <v>328.7</v>
      </c>
      <c r="E512">
        <v>55.7</v>
      </c>
      <c r="G512">
        <f t="shared" si="44"/>
        <v>328.7</v>
      </c>
      <c r="H512" s="2">
        <f t="shared" si="45"/>
        <v>1.7949295774647887</v>
      </c>
      <c r="J512" s="2">
        <f t="shared" si="46"/>
        <v>3.0422878004259206</v>
      </c>
      <c r="K512" s="3">
        <f t="shared" si="47"/>
        <v>1.1699315771209553</v>
      </c>
    </row>
    <row r="513" spans="1:11" x14ac:dyDescent="0.25">
      <c r="A513" s="4" t="s">
        <v>514</v>
      </c>
      <c r="B513" s="4">
        <v>143</v>
      </c>
      <c r="C513">
        <f t="shared" si="42"/>
        <v>0.71499999999999997</v>
      </c>
      <c r="D513">
        <f t="shared" si="43"/>
        <v>328.7</v>
      </c>
      <c r="E513">
        <v>55.7</v>
      </c>
      <c r="G513">
        <f t="shared" si="44"/>
        <v>328.7</v>
      </c>
      <c r="H513" s="2">
        <f t="shared" si="45"/>
        <v>1.7824647887323946</v>
      </c>
      <c r="J513" s="2">
        <f t="shared" si="46"/>
        <v>3.0422878004259206</v>
      </c>
      <c r="K513" s="3">
        <f t="shared" si="47"/>
        <v>1.1559942384887689</v>
      </c>
    </row>
    <row r="514" spans="1:11" x14ac:dyDescent="0.25">
      <c r="A514" s="4" t="s">
        <v>515</v>
      </c>
      <c r="B514" s="4">
        <v>141</v>
      </c>
      <c r="C514">
        <f t="shared" si="42"/>
        <v>0.70499999999999996</v>
      </c>
      <c r="D514">
        <f t="shared" si="43"/>
        <v>328.7</v>
      </c>
      <c r="E514">
        <v>55.7</v>
      </c>
      <c r="G514">
        <f t="shared" si="44"/>
        <v>328.7</v>
      </c>
      <c r="H514" s="2">
        <f t="shared" si="45"/>
        <v>1.7575352112676055</v>
      </c>
      <c r="J514" s="2">
        <f t="shared" si="46"/>
        <v>3.0422878004259206</v>
      </c>
      <c r="K514" s="3">
        <f t="shared" si="47"/>
        <v>1.1278247587252903</v>
      </c>
    </row>
    <row r="515" spans="1:11" x14ac:dyDescent="0.25">
      <c r="A515" s="4" t="s">
        <v>516</v>
      </c>
      <c r="B515" s="4">
        <v>141</v>
      </c>
      <c r="C515">
        <f t="shared" si="42"/>
        <v>0.70499999999999996</v>
      </c>
      <c r="D515">
        <f t="shared" si="43"/>
        <v>328.4</v>
      </c>
      <c r="E515">
        <v>55.4</v>
      </c>
      <c r="G515">
        <f t="shared" si="44"/>
        <v>328.4</v>
      </c>
      <c r="H515" s="2">
        <f t="shared" si="45"/>
        <v>1.7575352112676055</v>
      </c>
      <c r="J515" s="2">
        <f t="shared" si="46"/>
        <v>3.0450669914738127</v>
      </c>
      <c r="K515" s="3">
        <f t="shared" si="47"/>
        <v>1.1278247587252903</v>
      </c>
    </row>
    <row r="516" spans="1:11" x14ac:dyDescent="0.25">
      <c r="A516" s="4" t="s">
        <v>517</v>
      </c>
      <c r="B516" s="4">
        <v>140</v>
      </c>
      <c r="C516">
        <f t="shared" si="42"/>
        <v>0.7</v>
      </c>
      <c r="D516">
        <f t="shared" si="43"/>
        <v>328.4</v>
      </c>
      <c r="E516">
        <v>55.4</v>
      </c>
      <c r="G516">
        <f t="shared" si="44"/>
        <v>328.4</v>
      </c>
      <c r="H516" s="2">
        <f t="shared" si="45"/>
        <v>1.7450704225352114</v>
      </c>
      <c r="J516" s="2">
        <f t="shared" si="46"/>
        <v>3.0450669914738127</v>
      </c>
      <c r="K516" s="3">
        <f t="shared" si="47"/>
        <v>1.1135898231875629</v>
      </c>
    </row>
    <row r="517" spans="1:11" x14ac:dyDescent="0.25">
      <c r="A517" s="4" t="s">
        <v>518</v>
      </c>
      <c r="B517" s="4">
        <v>141</v>
      </c>
      <c r="C517">
        <f t="shared" si="42"/>
        <v>0.70499999999999996</v>
      </c>
      <c r="D517">
        <f t="shared" si="43"/>
        <v>328.4</v>
      </c>
      <c r="E517">
        <v>55.4</v>
      </c>
      <c r="G517">
        <f t="shared" si="44"/>
        <v>328.4</v>
      </c>
      <c r="H517" s="2">
        <f t="shared" si="45"/>
        <v>1.7575352112676055</v>
      </c>
      <c r="J517" s="2">
        <f t="shared" si="46"/>
        <v>3.0450669914738127</v>
      </c>
      <c r="K517" s="3">
        <f t="shared" si="47"/>
        <v>1.1278247587252903</v>
      </c>
    </row>
    <row r="518" spans="1:11" x14ac:dyDescent="0.25">
      <c r="A518" s="4" t="s">
        <v>519</v>
      </c>
      <c r="B518" s="4">
        <v>140</v>
      </c>
      <c r="C518">
        <f t="shared" si="42"/>
        <v>0.7</v>
      </c>
      <c r="D518">
        <f t="shared" si="43"/>
        <v>328.2</v>
      </c>
      <c r="E518">
        <v>55.2</v>
      </c>
      <c r="G518">
        <f t="shared" si="44"/>
        <v>328.2</v>
      </c>
      <c r="H518" s="2">
        <f t="shared" si="45"/>
        <v>1.7450704225352114</v>
      </c>
      <c r="J518" s="2">
        <f t="shared" si="46"/>
        <v>3.0469226081657528</v>
      </c>
      <c r="K518" s="3">
        <f t="shared" si="47"/>
        <v>1.1135898231875629</v>
      </c>
    </row>
    <row r="519" spans="1:11" x14ac:dyDescent="0.25">
      <c r="A519" s="4" t="s">
        <v>520</v>
      </c>
      <c r="B519" s="4">
        <v>142</v>
      </c>
      <c r="C519">
        <f t="shared" si="42"/>
        <v>0.71</v>
      </c>
      <c r="D519">
        <f t="shared" si="43"/>
        <v>328.2</v>
      </c>
      <c r="E519">
        <v>55.2</v>
      </c>
      <c r="G519">
        <f t="shared" si="44"/>
        <v>328.2</v>
      </c>
      <c r="H519" s="2">
        <f t="shared" si="45"/>
        <v>1.77</v>
      </c>
      <c r="J519" s="2">
        <f t="shared" si="46"/>
        <v>3.0469226081657528</v>
      </c>
      <c r="K519" s="3">
        <f t="shared" si="47"/>
        <v>1.1419590931714756</v>
      </c>
    </row>
    <row r="520" spans="1:11" x14ac:dyDescent="0.25">
      <c r="A520" s="4" t="s">
        <v>521</v>
      </c>
      <c r="B520" s="4">
        <v>143</v>
      </c>
      <c r="C520">
        <f t="shared" si="42"/>
        <v>0.71499999999999997</v>
      </c>
      <c r="D520">
        <f t="shared" si="43"/>
        <v>328.2</v>
      </c>
      <c r="E520">
        <v>55.2</v>
      </c>
      <c r="G520">
        <f t="shared" si="44"/>
        <v>328.2</v>
      </c>
      <c r="H520" s="2">
        <f t="shared" si="45"/>
        <v>1.7824647887323946</v>
      </c>
      <c r="J520" s="2">
        <f t="shared" si="46"/>
        <v>3.0469226081657528</v>
      </c>
      <c r="K520" s="3">
        <f t="shared" si="47"/>
        <v>1.1559942384887689</v>
      </c>
    </row>
    <row r="521" spans="1:11" x14ac:dyDescent="0.25">
      <c r="A521" s="4" t="s">
        <v>522</v>
      </c>
      <c r="B521" s="4">
        <v>142</v>
      </c>
      <c r="C521">
        <f t="shared" si="42"/>
        <v>0.71</v>
      </c>
      <c r="D521">
        <f t="shared" si="43"/>
        <v>328.2</v>
      </c>
      <c r="E521">
        <v>55.2</v>
      </c>
      <c r="G521">
        <f t="shared" si="44"/>
        <v>328.2</v>
      </c>
      <c r="H521" s="2">
        <f t="shared" si="45"/>
        <v>1.77</v>
      </c>
      <c r="J521" s="2">
        <f t="shared" si="46"/>
        <v>3.0469226081657528</v>
      </c>
      <c r="K521" s="3">
        <f t="shared" si="47"/>
        <v>1.1419590931714756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1"/>
  <sheetViews>
    <sheetView topLeftCell="E22" workbookViewId="0">
      <selection activeCell="K1" sqref="K1:L1048576"/>
    </sheetView>
  </sheetViews>
  <sheetFormatPr defaultRowHeight="15" x14ac:dyDescent="0.25"/>
  <cols>
    <col min="1" max="2" width="9.140625" style="4"/>
  </cols>
  <sheetData>
    <row r="1" spans="1:12" x14ac:dyDescent="0.25">
      <c r="E1" s="1"/>
    </row>
    <row r="3" spans="1:12" x14ac:dyDescent="0.25">
      <c r="A3" s="4" t="s">
        <v>0</v>
      </c>
    </row>
    <row r="5" spans="1:12" x14ac:dyDescent="0.25">
      <c r="A5" s="4" t="s">
        <v>1</v>
      </c>
    </row>
    <row r="7" spans="1:12" x14ac:dyDescent="0.25">
      <c r="A7" s="4" t="s">
        <v>3</v>
      </c>
    </row>
    <row r="8" spans="1:12" x14ac:dyDescent="0.25">
      <c r="A8" s="4" t="s">
        <v>4</v>
      </c>
      <c r="C8" t="s">
        <v>5</v>
      </c>
      <c r="E8" t="s">
        <v>6</v>
      </c>
    </row>
    <row r="9" spans="1:12" x14ac:dyDescent="0.25">
      <c r="C9" t="s">
        <v>9</v>
      </c>
      <c r="E9" t="s">
        <v>523</v>
      </c>
    </row>
    <row r="10" spans="1:12" x14ac:dyDescent="0.25">
      <c r="A10" s="4" t="s">
        <v>11</v>
      </c>
      <c r="B10" s="4">
        <v>1292</v>
      </c>
      <c r="C10">
        <f>B10/200</f>
        <v>6.46</v>
      </c>
      <c r="D10">
        <f>273+E10</f>
        <v>377.9</v>
      </c>
      <c r="E10">
        <v>104.9</v>
      </c>
      <c r="H10">
        <v>0</v>
      </c>
      <c r="I10">
        <f>C10</f>
        <v>6.46</v>
      </c>
      <c r="K10">
        <f>H10</f>
        <v>0</v>
      </c>
      <c r="L10" s="2">
        <f>LN(I10*I10)</f>
        <v>3.7312586355890209</v>
      </c>
    </row>
    <row r="11" spans="1:12" x14ac:dyDescent="0.25">
      <c r="A11" s="4" t="s">
        <v>12</v>
      </c>
      <c r="B11" s="4">
        <v>1268</v>
      </c>
      <c r="C11">
        <f t="shared" ref="C11:C74" si="0">B11/200</f>
        <v>6.34</v>
      </c>
      <c r="D11">
        <f t="shared" ref="D11:D74" si="1">273+E11</f>
        <v>377.9</v>
      </c>
      <c r="E11">
        <v>104.9</v>
      </c>
      <c r="H11">
        <f>H10+1</f>
        <v>1</v>
      </c>
      <c r="I11">
        <f t="shared" ref="I11:I74" si="2">C11</f>
        <v>6.34</v>
      </c>
      <c r="K11">
        <f t="shared" ref="K11:K74" si="3">H11</f>
        <v>1</v>
      </c>
      <c r="L11" s="2">
        <f t="shared" ref="L11:L74" si="4">LN(I11*I11)</f>
        <v>3.6937575368982691</v>
      </c>
    </row>
    <row r="12" spans="1:12" x14ac:dyDescent="0.25">
      <c r="A12" s="4" t="s">
        <v>13</v>
      </c>
      <c r="B12" s="4">
        <v>1242</v>
      </c>
      <c r="C12">
        <f t="shared" si="0"/>
        <v>6.21</v>
      </c>
      <c r="D12">
        <f t="shared" si="1"/>
        <v>377.9</v>
      </c>
      <c r="E12">
        <v>104.9</v>
      </c>
      <c r="H12">
        <f t="shared" ref="H12:H75" si="5">H11+1</f>
        <v>2</v>
      </c>
      <c r="I12">
        <f t="shared" si="2"/>
        <v>6.21</v>
      </c>
      <c r="K12">
        <f t="shared" si="3"/>
        <v>2</v>
      </c>
      <c r="L12" s="2">
        <f t="shared" si="4"/>
        <v>3.6523217918907749</v>
      </c>
    </row>
    <row r="13" spans="1:12" x14ac:dyDescent="0.25">
      <c r="A13" s="4" t="s">
        <v>14</v>
      </c>
      <c r="B13" s="4">
        <v>1219</v>
      </c>
      <c r="C13">
        <f t="shared" si="0"/>
        <v>6.0949999999999998</v>
      </c>
      <c r="D13">
        <f t="shared" si="1"/>
        <v>377.4</v>
      </c>
      <c r="E13">
        <v>104.4</v>
      </c>
      <c r="H13">
        <f t="shared" si="5"/>
        <v>3</v>
      </c>
      <c r="I13">
        <f t="shared" si="2"/>
        <v>6.0949999999999998</v>
      </c>
      <c r="K13">
        <f t="shared" si="3"/>
        <v>3</v>
      </c>
      <c r="L13" s="2">
        <f t="shared" si="4"/>
        <v>3.6149375258664698</v>
      </c>
    </row>
    <row r="14" spans="1:12" x14ac:dyDescent="0.25">
      <c r="A14" s="4" t="s">
        <v>15</v>
      </c>
      <c r="B14" s="4">
        <v>1197</v>
      </c>
      <c r="C14">
        <f t="shared" si="0"/>
        <v>5.9850000000000003</v>
      </c>
      <c r="D14">
        <f t="shared" si="1"/>
        <v>377.4</v>
      </c>
      <c r="E14">
        <v>104.4</v>
      </c>
      <c r="H14">
        <f t="shared" si="5"/>
        <v>4</v>
      </c>
      <c r="I14">
        <f t="shared" si="2"/>
        <v>5.9850000000000003</v>
      </c>
      <c r="K14">
        <f t="shared" si="3"/>
        <v>4</v>
      </c>
      <c r="L14" s="2">
        <f t="shared" si="4"/>
        <v>3.5785126780198731</v>
      </c>
    </row>
    <row r="15" spans="1:12" x14ac:dyDescent="0.25">
      <c r="A15" s="4" t="s">
        <v>16</v>
      </c>
      <c r="B15" s="4">
        <v>1175</v>
      </c>
      <c r="C15">
        <f t="shared" si="0"/>
        <v>5.875</v>
      </c>
      <c r="D15">
        <f t="shared" si="1"/>
        <v>377.4</v>
      </c>
      <c r="E15">
        <v>104.4</v>
      </c>
      <c r="H15">
        <f t="shared" si="5"/>
        <v>5</v>
      </c>
      <c r="I15">
        <f t="shared" si="2"/>
        <v>5.875</v>
      </c>
      <c r="K15">
        <f t="shared" si="3"/>
        <v>5</v>
      </c>
      <c r="L15" s="2">
        <f t="shared" si="4"/>
        <v>3.5414121200604454</v>
      </c>
    </row>
    <row r="16" spans="1:12" x14ac:dyDescent="0.25">
      <c r="A16" s="4" t="s">
        <v>17</v>
      </c>
      <c r="B16" s="4">
        <v>1152</v>
      </c>
      <c r="C16">
        <f t="shared" si="0"/>
        <v>5.76</v>
      </c>
      <c r="D16">
        <f t="shared" si="1"/>
        <v>377</v>
      </c>
      <c r="E16">
        <v>104</v>
      </c>
      <c r="H16">
        <f t="shared" si="5"/>
        <v>6</v>
      </c>
      <c r="I16">
        <f t="shared" si="2"/>
        <v>5.76</v>
      </c>
      <c r="K16">
        <f t="shared" si="3"/>
        <v>6</v>
      </c>
      <c r="L16" s="2">
        <f t="shared" si="4"/>
        <v>3.5018749494155998</v>
      </c>
    </row>
    <row r="17" spans="1:12" x14ac:dyDescent="0.25">
      <c r="A17" s="4" t="s">
        <v>18</v>
      </c>
      <c r="B17" s="4">
        <v>1130</v>
      </c>
      <c r="C17">
        <f t="shared" si="0"/>
        <v>5.65</v>
      </c>
      <c r="D17">
        <f t="shared" si="1"/>
        <v>377</v>
      </c>
      <c r="E17">
        <v>104</v>
      </c>
      <c r="H17">
        <f t="shared" si="5"/>
        <v>7</v>
      </c>
      <c r="I17">
        <f t="shared" si="2"/>
        <v>5.65</v>
      </c>
      <c r="K17">
        <f t="shared" si="3"/>
        <v>7</v>
      </c>
      <c r="L17" s="2">
        <f t="shared" si="4"/>
        <v>3.463311090316699</v>
      </c>
    </row>
    <row r="18" spans="1:12" x14ac:dyDescent="0.25">
      <c r="A18" s="4" t="s">
        <v>19</v>
      </c>
      <c r="B18" s="4">
        <v>1111</v>
      </c>
      <c r="C18">
        <f t="shared" si="0"/>
        <v>5.5549999999999997</v>
      </c>
      <c r="D18">
        <f t="shared" si="1"/>
        <v>377</v>
      </c>
      <c r="E18">
        <v>104</v>
      </c>
      <c r="H18">
        <f t="shared" si="5"/>
        <v>8</v>
      </c>
      <c r="I18">
        <f t="shared" si="2"/>
        <v>5.5549999999999997</v>
      </c>
      <c r="K18">
        <f t="shared" si="3"/>
        <v>8</v>
      </c>
      <c r="L18" s="2">
        <f t="shared" si="4"/>
        <v>3.4293968461831867</v>
      </c>
    </row>
    <row r="19" spans="1:12" x14ac:dyDescent="0.25">
      <c r="A19" s="4" t="s">
        <v>20</v>
      </c>
      <c r="B19" s="4">
        <v>1090</v>
      </c>
      <c r="C19">
        <f t="shared" si="0"/>
        <v>5.45</v>
      </c>
      <c r="D19">
        <f t="shared" si="1"/>
        <v>376.4</v>
      </c>
      <c r="E19">
        <v>103.4</v>
      </c>
      <c r="H19">
        <f t="shared" si="5"/>
        <v>9</v>
      </c>
      <c r="I19">
        <f t="shared" si="2"/>
        <v>5.45</v>
      </c>
      <c r="K19">
        <f t="shared" si="3"/>
        <v>9</v>
      </c>
      <c r="L19" s="2">
        <f t="shared" si="4"/>
        <v>3.3912312173503056</v>
      </c>
    </row>
    <row r="20" spans="1:12" x14ac:dyDescent="0.25">
      <c r="A20" s="4" t="s">
        <v>21</v>
      </c>
      <c r="B20" s="4">
        <v>1071</v>
      </c>
      <c r="C20">
        <f t="shared" si="0"/>
        <v>5.3550000000000004</v>
      </c>
      <c r="D20">
        <f t="shared" si="1"/>
        <v>376.4</v>
      </c>
      <c r="E20">
        <v>103.4</v>
      </c>
      <c r="H20">
        <f t="shared" si="5"/>
        <v>10</v>
      </c>
      <c r="I20">
        <f t="shared" si="2"/>
        <v>5.3550000000000004</v>
      </c>
      <c r="K20">
        <f t="shared" si="3"/>
        <v>10</v>
      </c>
      <c r="L20" s="2">
        <f t="shared" si="4"/>
        <v>3.3560614077994244</v>
      </c>
    </row>
    <row r="21" spans="1:12" x14ac:dyDescent="0.25">
      <c r="A21" s="4" t="s">
        <v>22</v>
      </c>
      <c r="B21" s="4">
        <v>1053</v>
      </c>
      <c r="C21">
        <f t="shared" si="0"/>
        <v>5.2649999999999997</v>
      </c>
      <c r="D21">
        <f t="shared" si="1"/>
        <v>376.4</v>
      </c>
      <c r="E21">
        <v>103.4</v>
      </c>
      <c r="H21">
        <f t="shared" si="5"/>
        <v>11</v>
      </c>
      <c r="I21">
        <f t="shared" si="2"/>
        <v>5.2649999999999997</v>
      </c>
      <c r="K21">
        <f t="shared" si="3"/>
        <v>11</v>
      </c>
      <c r="L21" s="2">
        <f t="shared" si="4"/>
        <v>3.3221622911718773</v>
      </c>
    </row>
    <row r="22" spans="1:12" x14ac:dyDescent="0.25">
      <c r="A22" s="4" t="s">
        <v>23</v>
      </c>
      <c r="B22" s="4">
        <v>1043</v>
      </c>
      <c r="C22">
        <f t="shared" si="0"/>
        <v>5.2149999999999999</v>
      </c>
      <c r="D22">
        <f t="shared" si="1"/>
        <v>375.8</v>
      </c>
      <c r="E22">
        <v>102.8</v>
      </c>
      <c r="H22">
        <f t="shared" si="5"/>
        <v>12</v>
      </c>
      <c r="I22">
        <f t="shared" si="2"/>
        <v>5.2149999999999999</v>
      </c>
      <c r="K22">
        <f t="shared" si="3"/>
        <v>12</v>
      </c>
      <c r="L22" s="2">
        <f t="shared" si="4"/>
        <v>3.3030781769054713</v>
      </c>
    </row>
    <row r="23" spans="1:12" x14ac:dyDescent="0.25">
      <c r="A23" s="4" t="s">
        <v>24</v>
      </c>
      <c r="B23" s="4">
        <v>1030</v>
      </c>
      <c r="C23">
        <f t="shared" si="0"/>
        <v>5.15</v>
      </c>
      <c r="D23">
        <f t="shared" si="1"/>
        <v>375.8</v>
      </c>
      <c r="E23">
        <v>102.8</v>
      </c>
      <c r="H23">
        <f t="shared" si="5"/>
        <v>13</v>
      </c>
      <c r="I23">
        <f t="shared" si="2"/>
        <v>5.15</v>
      </c>
      <c r="K23">
        <f t="shared" si="3"/>
        <v>13</v>
      </c>
      <c r="L23" s="2">
        <f t="shared" si="4"/>
        <v>3.2779934293512896</v>
      </c>
    </row>
    <row r="24" spans="1:12" x14ac:dyDescent="0.25">
      <c r="A24" s="4" t="s">
        <v>25</v>
      </c>
      <c r="B24" s="4">
        <v>1012</v>
      </c>
      <c r="C24">
        <f t="shared" si="0"/>
        <v>5.0599999999999996</v>
      </c>
      <c r="D24">
        <f t="shared" si="1"/>
        <v>375.8</v>
      </c>
      <c r="E24">
        <v>102.8</v>
      </c>
      <c r="H24">
        <f t="shared" si="5"/>
        <v>14</v>
      </c>
      <c r="I24">
        <f t="shared" si="2"/>
        <v>5.0599999999999996</v>
      </c>
      <c r="K24">
        <f t="shared" si="3"/>
        <v>14</v>
      </c>
      <c r="L24" s="2">
        <f t="shared" si="4"/>
        <v>3.2427329665987483</v>
      </c>
    </row>
    <row r="25" spans="1:12" x14ac:dyDescent="0.25">
      <c r="A25" s="4" t="s">
        <v>26</v>
      </c>
      <c r="B25" s="4">
        <v>993</v>
      </c>
      <c r="C25">
        <f t="shared" si="0"/>
        <v>4.9649999999999999</v>
      </c>
      <c r="D25">
        <f t="shared" si="1"/>
        <v>375.8</v>
      </c>
      <c r="E25">
        <v>102.8</v>
      </c>
      <c r="H25">
        <f t="shared" si="5"/>
        <v>15</v>
      </c>
      <c r="I25">
        <f t="shared" si="2"/>
        <v>4.9649999999999999</v>
      </c>
      <c r="K25">
        <f t="shared" si="3"/>
        <v>15</v>
      </c>
      <c r="L25" s="2">
        <f t="shared" si="4"/>
        <v>3.2048265949942718</v>
      </c>
    </row>
    <row r="26" spans="1:12" x14ac:dyDescent="0.25">
      <c r="A26" s="4" t="s">
        <v>27</v>
      </c>
      <c r="B26" s="4">
        <v>975</v>
      </c>
      <c r="C26">
        <f t="shared" si="0"/>
        <v>4.875</v>
      </c>
      <c r="D26">
        <f t="shared" si="1"/>
        <v>375.2</v>
      </c>
      <c r="E26">
        <v>102.2</v>
      </c>
      <c r="H26">
        <f t="shared" si="5"/>
        <v>16</v>
      </c>
      <c r="I26">
        <f t="shared" si="2"/>
        <v>4.875</v>
      </c>
      <c r="K26">
        <f t="shared" si="3"/>
        <v>16</v>
      </c>
      <c r="L26" s="2">
        <f t="shared" si="4"/>
        <v>3.1682402088996211</v>
      </c>
    </row>
    <row r="27" spans="1:12" x14ac:dyDescent="0.25">
      <c r="A27" s="4" t="s">
        <v>28</v>
      </c>
      <c r="B27" s="4">
        <v>958</v>
      </c>
      <c r="C27">
        <f t="shared" si="0"/>
        <v>4.79</v>
      </c>
      <c r="D27">
        <f t="shared" si="1"/>
        <v>375.2</v>
      </c>
      <c r="E27">
        <v>102.2</v>
      </c>
      <c r="H27">
        <f t="shared" si="5"/>
        <v>17</v>
      </c>
      <c r="I27">
        <f t="shared" si="2"/>
        <v>4.79</v>
      </c>
      <c r="K27">
        <f t="shared" si="3"/>
        <v>17</v>
      </c>
      <c r="L27" s="2">
        <f t="shared" si="4"/>
        <v>3.1330608228456476</v>
      </c>
    </row>
    <row r="28" spans="1:12" x14ac:dyDescent="0.25">
      <c r="A28" s="4" t="s">
        <v>29</v>
      </c>
      <c r="B28" s="4">
        <v>941</v>
      </c>
      <c r="C28">
        <f t="shared" si="0"/>
        <v>4.7050000000000001</v>
      </c>
      <c r="D28">
        <f t="shared" si="1"/>
        <v>375.2</v>
      </c>
      <c r="E28">
        <v>102.2</v>
      </c>
      <c r="H28">
        <f t="shared" si="5"/>
        <v>18</v>
      </c>
      <c r="I28">
        <f t="shared" si="2"/>
        <v>4.7050000000000001</v>
      </c>
      <c r="K28">
        <f t="shared" si="3"/>
        <v>18</v>
      </c>
      <c r="L28" s="2">
        <f t="shared" si="4"/>
        <v>3.0972515460746859</v>
      </c>
    </row>
    <row r="29" spans="1:12" x14ac:dyDescent="0.25">
      <c r="A29" s="4" t="s">
        <v>30</v>
      </c>
      <c r="B29" s="4">
        <v>925</v>
      </c>
      <c r="C29">
        <f t="shared" si="0"/>
        <v>4.625</v>
      </c>
      <c r="D29">
        <f t="shared" si="1"/>
        <v>374.8</v>
      </c>
      <c r="E29">
        <v>101.8</v>
      </c>
      <c r="H29">
        <f t="shared" si="5"/>
        <v>19</v>
      </c>
      <c r="I29">
        <f t="shared" si="2"/>
        <v>4.625</v>
      </c>
      <c r="K29">
        <f t="shared" si="3"/>
        <v>19</v>
      </c>
      <c r="L29" s="2">
        <f t="shared" si="4"/>
        <v>3.0629527419287772</v>
      </c>
    </row>
    <row r="30" spans="1:12" x14ac:dyDescent="0.25">
      <c r="A30" s="4" t="s">
        <v>31</v>
      </c>
      <c r="B30" s="4">
        <v>910</v>
      </c>
      <c r="C30">
        <f t="shared" si="0"/>
        <v>4.55</v>
      </c>
      <c r="D30">
        <f t="shared" si="1"/>
        <v>374.8</v>
      </c>
      <c r="E30">
        <v>101.8</v>
      </c>
      <c r="H30">
        <f t="shared" si="5"/>
        <v>20</v>
      </c>
      <c r="I30">
        <f t="shared" si="2"/>
        <v>4.55</v>
      </c>
      <c r="K30">
        <f t="shared" si="3"/>
        <v>20</v>
      </c>
      <c r="L30" s="2">
        <f t="shared" si="4"/>
        <v>3.0302544659257178</v>
      </c>
    </row>
    <row r="31" spans="1:12" x14ac:dyDescent="0.25">
      <c r="A31" s="4" t="s">
        <v>32</v>
      </c>
      <c r="B31" s="4">
        <v>879</v>
      </c>
      <c r="C31">
        <f t="shared" si="0"/>
        <v>4.3949999999999996</v>
      </c>
      <c r="D31">
        <f t="shared" si="1"/>
        <v>374.8</v>
      </c>
      <c r="E31">
        <v>101.8</v>
      </c>
      <c r="H31">
        <f t="shared" si="5"/>
        <v>21</v>
      </c>
      <c r="I31">
        <f t="shared" si="2"/>
        <v>4.3949999999999996</v>
      </c>
      <c r="K31">
        <f t="shared" si="3"/>
        <v>21</v>
      </c>
      <c r="L31" s="2">
        <f t="shared" si="4"/>
        <v>2.9609350622742805</v>
      </c>
    </row>
    <row r="32" spans="1:12" x14ac:dyDescent="0.25">
      <c r="A32" s="4" t="s">
        <v>33</v>
      </c>
      <c r="B32" s="4">
        <v>865</v>
      </c>
      <c r="C32">
        <f t="shared" si="0"/>
        <v>4.3250000000000002</v>
      </c>
      <c r="D32">
        <f t="shared" si="1"/>
        <v>374.3</v>
      </c>
      <c r="E32">
        <v>101.3</v>
      </c>
      <c r="H32">
        <f t="shared" si="5"/>
        <v>22</v>
      </c>
      <c r="I32">
        <f t="shared" si="2"/>
        <v>4.3250000000000002</v>
      </c>
      <c r="K32">
        <f t="shared" si="3"/>
        <v>22</v>
      </c>
      <c r="L32" s="2">
        <f t="shared" si="4"/>
        <v>2.9288242807676852</v>
      </c>
    </row>
    <row r="33" spans="1:12" x14ac:dyDescent="0.25">
      <c r="A33" s="4" t="s">
        <v>34</v>
      </c>
      <c r="B33" s="4">
        <v>850</v>
      </c>
      <c r="C33">
        <f t="shared" si="0"/>
        <v>4.25</v>
      </c>
      <c r="D33">
        <f t="shared" si="1"/>
        <v>374.3</v>
      </c>
      <c r="E33">
        <v>101.3</v>
      </c>
      <c r="H33">
        <f t="shared" si="5"/>
        <v>23</v>
      </c>
      <c r="I33">
        <f t="shared" si="2"/>
        <v>4.25</v>
      </c>
      <c r="K33">
        <f t="shared" si="3"/>
        <v>23</v>
      </c>
      <c r="L33" s="2">
        <f t="shared" si="4"/>
        <v>2.8938379658726507</v>
      </c>
    </row>
    <row r="34" spans="1:12" x14ac:dyDescent="0.25">
      <c r="A34" s="4" t="s">
        <v>35</v>
      </c>
      <c r="B34" s="4">
        <v>836</v>
      </c>
      <c r="C34">
        <f t="shared" si="0"/>
        <v>4.18</v>
      </c>
      <c r="D34">
        <f t="shared" si="1"/>
        <v>374.3</v>
      </c>
      <c r="E34">
        <v>101.3</v>
      </c>
      <c r="H34">
        <f t="shared" si="5"/>
        <v>24</v>
      </c>
      <c r="I34">
        <f t="shared" si="2"/>
        <v>4.18</v>
      </c>
      <c r="K34">
        <f t="shared" si="3"/>
        <v>24</v>
      </c>
      <c r="L34" s="2">
        <f t="shared" si="4"/>
        <v>2.8606224930733295</v>
      </c>
    </row>
    <row r="35" spans="1:12" x14ac:dyDescent="0.25">
      <c r="A35" s="4" t="s">
        <v>36</v>
      </c>
      <c r="B35" s="4">
        <v>822</v>
      </c>
      <c r="C35">
        <f t="shared" si="0"/>
        <v>4.1100000000000003</v>
      </c>
      <c r="D35">
        <f t="shared" si="1"/>
        <v>373.7</v>
      </c>
      <c r="E35">
        <v>100.7</v>
      </c>
      <c r="H35">
        <f t="shared" si="5"/>
        <v>25</v>
      </c>
      <c r="I35">
        <f t="shared" si="2"/>
        <v>4.1100000000000003</v>
      </c>
      <c r="K35">
        <f t="shared" si="3"/>
        <v>25</v>
      </c>
      <c r="L35" s="2">
        <f t="shared" si="4"/>
        <v>2.8268460570162866</v>
      </c>
    </row>
    <row r="36" spans="1:12" x14ac:dyDescent="0.25">
      <c r="A36" s="4" t="s">
        <v>37</v>
      </c>
      <c r="B36" s="4">
        <v>807</v>
      </c>
      <c r="C36">
        <f t="shared" si="0"/>
        <v>4.0350000000000001</v>
      </c>
      <c r="D36">
        <f t="shared" si="1"/>
        <v>373.7</v>
      </c>
      <c r="E36">
        <v>100.7</v>
      </c>
      <c r="H36">
        <f t="shared" si="5"/>
        <v>26</v>
      </c>
      <c r="I36">
        <f t="shared" si="2"/>
        <v>4.0350000000000001</v>
      </c>
      <c r="K36">
        <f t="shared" si="3"/>
        <v>26</v>
      </c>
      <c r="L36" s="2">
        <f t="shared" si="4"/>
        <v>2.7900126034438246</v>
      </c>
    </row>
    <row r="37" spans="1:12" x14ac:dyDescent="0.25">
      <c r="A37" s="4" t="s">
        <v>38</v>
      </c>
      <c r="B37" s="4">
        <v>795</v>
      </c>
      <c r="C37">
        <f t="shared" si="0"/>
        <v>3.9750000000000001</v>
      </c>
      <c r="D37">
        <f t="shared" si="1"/>
        <v>373.7</v>
      </c>
      <c r="E37">
        <v>100.7</v>
      </c>
      <c r="H37">
        <f t="shared" si="5"/>
        <v>27</v>
      </c>
      <c r="I37">
        <f t="shared" si="2"/>
        <v>3.9750000000000001</v>
      </c>
      <c r="K37">
        <f t="shared" si="3"/>
        <v>27</v>
      </c>
      <c r="L37" s="2">
        <f t="shared" si="4"/>
        <v>2.7600494962125905</v>
      </c>
    </row>
    <row r="38" spans="1:12" x14ac:dyDescent="0.25">
      <c r="A38" s="4" t="s">
        <v>39</v>
      </c>
      <c r="B38" s="4">
        <v>782</v>
      </c>
      <c r="C38">
        <f t="shared" si="0"/>
        <v>3.91</v>
      </c>
      <c r="D38">
        <f t="shared" si="1"/>
        <v>373</v>
      </c>
      <c r="E38">
        <v>100</v>
      </c>
      <c r="H38">
        <f t="shared" si="5"/>
        <v>28</v>
      </c>
      <c r="I38">
        <f t="shared" si="2"/>
        <v>3.91</v>
      </c>
      <c r="K38">
        <f t="shared" si="3"/>
        <v>28</v>
      </c>
      <c r="L38" s="2">
        <f t="shared" si="4"/>
        <v>2.727074747994549</v>
      </c>
    </row>
    <row r="39" spans="1:12" x14ac:dyDescent="0.25">
      <c r="A39" s="4" t="s">
        <v>40</v>
      </c>
      <c r="B39" s="4">
        <v>770</v>
      </c>
      <c r="C39">
        <f t="shared" si="0"/>
        <v>3.85</v>
      </c>
      <c r="D39">
        <f t="shared" si="1"/>
        <v>373</v>
      </c>
      <c r="E39">
        <v>100</v>
      </c>
      <c r="H39">
        <f t="shared" si="5"/>
        <v>29</v>
      </c>
      <c r="I39">
        <f t="shared" si="2"/>
        <v>3.85</v>
      </c>
      <c r="K39">
        <f t="shared" si="3"/>
        <v>29</v>
      </c>
      <c r="L39" s="2">
        <f t="shared" si="4"/>
        <v>2.6961462965993856</v>
      </c>
    </row>
    <row r="40" spans="1:12" x14ac:dyDescent="0.25">
      <c r="A40" s="4" t="s">
        <v>41</v>
      </c>
      <c r="B40" s="4">
        <v>759</v>
      </c>
      <c r="C40">
        <f t="shared" si="0"/>
        <v>3.7949999999999999</v>
      </c>
      <c r="D40">
        <f t="shared" si="1"/>
        <v>373</v>
      </c>
      <c r="E40">
        <v>100</v>
      </c>
      <c r="H40">
        <f t="shared" si="5"/>
        <v>30</v>
      </c>
      <c r="I40">
        <f t="shared" si="2"/>
        <v>3.7949999999999999</v>
      </c>
      <c r="K40">
        <f t="shared" si="3"/>
        <v>30</v>
      </c>
      <c r="L40" s="2">
        <f t="shared" si="4"/>
        <v>2.6673688216951863</v>
      </c>
    </row>
    <row r="41" spans="1:12" x14ac:dyDescent="0.25">
      <c r="A41" s="4" t="s">
        <v>42</v>
      </c>
      <c r="B41" s="4">
        <v>746</v>
      </c>
      <c r="C41">
        <f t="shared" si="0"/>
        <v>3.73</v>
      </c>
      <c r="D41">
        <f t="shared" si="1"/>
        <v>373</v>
      </c>
      <c r="E41">
        <v>100</v>
      </c>
      <c r="H41">
        <f t="shared" si="5"/>
        <v>31</v>
      </c>
      <c r="I41">
        <f t="shared" si="2"/>
        <v>3.73</v>
      </c>
      <c r="K41">
        <f t="shared" si="3"/>
        <v>31</v>
      </c>
      <c r="L41" s="2">
        <f t="shared" si="4"/>
        <v>2.6328164673114482</v>
      </c>
    </row>
    <row r="42" spans="1:12" x14ac:dyDescent="0.25">
      <c r="A42" s="4" t="s">
        <v>43</v>
      </c>
      <c r="B42" s="4">
        <v>734</v>
      </c>
      <c r="C42">
        <f t="shared" si="0"/>
        <v>3.67</v>
      </c>
      <c r="D42">
        <f t="shared" si="1"/>
        <v>372.3</v>
      </c>
      <c r="E42">
        <v>99.3</v>
      </c>
      <c r="H42">
        <f t="shared" si="5"/>
        <v>32</v>
      </c>
      <c r="I42">
        <f t="shared" si="2"/>
        <v>3.67</v>
      </c>
      <c r="K42">
        <f t="shared" si="3"/>
        <v>32</v>
      </c>
      <c r="L42" s="2">
        <f t="shared" si="4"/>
        <v>2.6003833241329577</v>
      </c>
    </row>
    <row r="43" spans="1:12" x14ac:dyDescent="0.25">
      <c r="A43" s="4" t="s">
        <v>44</v>
      </c>
      <c r="B43" s="4">
        <v>722</v>
      </c>
      <c r="C43">
        <f t="shared" si="0"/>
        <v>3.61</v>
      </c>
      <c r="D43">
        <f t="shared" si="1"/>
        <v>372.3</v>
      </c>
      <c r="E43">
        <v>99.3</v>
      </c>
      <c r="H43">
        <f t="shared" si="5"/>
        <v>33</v>
      </c>
      <c r="I43">
        <f t="shared" si="2"/>
        <v>3.61</v>
      </c>
      <c r="K43">
        <f t="shared" si="3"/>
        <v>33</v>
      </c>
      <c r="L43" s="2">
        <f t="shared" si="4"/>
        <v>2.5674155446895792</v>
      </c>
    </row>
    <row r="44" spans="1:12" x14ac:dyDescent="0.25">
      <c r="A44" s="4" t="s">
        <v>45</v>
      </c>
      <c r="B44" s="4">
        <v>711</v>
      </c>
      <c r="C44">
        <f t="shared" si="0"/>
        <v>3.5550000000000002</v>
      </c>
      <c r="D44">
        <f t="shared" si="1"/>
        <v>372.3</v>
      </c>
      <c r="E44">
        <v>99.3</v>
      </c>
      <c r="H44">
        <f t="shared" si="5"/>
        <v>34</v>
      </c>
      <c r="I44">
        <f t="shared" si="2"/>
        <v>3.5550000000000002</v>
      </c>
      <c r="K44">
        <f t="shared" si="3"/>
        <v>34</v>
      </c>
      <c r="L44" s="2">
        <f t="shared" si="4"/>
        <v>2.5367101265104086</v>
      </c>
    </row>
    <row r="45" spans="1:12" x14ac:dyDescent="0.25">
      <c r="A45" s="4" t="s">
        <v>46</v>
      </c>
      <c r="B45" s="4">
        <v>699</v>
      </c>
      <c r="C45">
        <f t="shared" si="0"/>
        <v>3.4950000000000001</v>
      </c>
      <c r="D45">
        <f t="shared" si="1"/>
        <v>371.7</v>
      </c>
      <c r="E45">
        <v>98.7</v>
      </c>
      <c r="H45">
        <f t="shared" si="5"/>
        <v>35</v>
      </c>
      <c r="I45">
        <f t="shared" si="2"/>
        <v>3.4950000000000001</v>
      </c>
      <c r="K45">
        <f t="shared" si="3"/>
        <v>35</v>
      </c>
      <c r="L45" s="2">
        <f t="shared" si="4"/>
        <v>2.5026667513715473</v>
      </c>
    </row>
    <row r="46" spans="1:12" x14ac:dyDescent="0.25">
      <c r="A46" s="4" t="s">
        <v>47</v>
      </c>
      <c r="B46" s="4">
        <v>687</v>
      </c>
      <c r="C46">
        <f t="shared" si="0"/>
        <v>3.4350000000000001</v>
      </c>
      <c r="D46">
        <f t="shared" si="1"/>
        <v>371.7</v>
      </c>
      <c r="E46">
        <v>98.7</v>
      </c>
      <c r="H46">
        <f t="shared" si="5"/>
        <v>36</v>
      </c>
      <c r="I46">
        <f t="shared" si="2"/>
        <v>3.4350000000000001</v>
      </c>
      <c r="K46">
        <f t="shared" si="3"/>
        <v>36</v>
      </c>
      <c r="L46" s="2">
        <f t="shared" si="4"/>
        <v>2.4680338513486255</v>
      </c>
    </row>
    <row r="47" spans="1:12" x14ac:dyDescent="0.25">
      <c r="A47" s="4" t="s">
        <v>48</v>
      </c>
      <c r="B47" s="4">
        <v>677</v>
      </c>
      <c r="C47">
        <f t="shared" si="0"/>
        <v>3.3849999999999998</v>
      </c>
      <c r="D47">
        <f t="shared" si="1"/>
        <v>371.7</v>
      </c>
      <c r="E47">
        <v>98.7</v>
      </c>
      <c r="H47">
        <f t="shared" si="5"/>
        <v>37</v>
      </c>
      <c r="I47">
        <f t="shared" si="2"/>
        <v>3.3849999999999998</v>
      </c>
      <c r="K47">
        <f t="shared" si="3"/>
        <v>37</v>
      </c>
      <c r="L47" s="2">
        <f t="shared" si="4"/>
        <v>2.4387078127284765</v>
      </c>
    </row>
    <row r="48" spans="1:12" x14ac:dyDescent="0.25">
      <c r="A48" s="4" t="s">
        <v>49</v>
      </c>
      <c r="B48" s="4">
        <v>667</v>
      </c>
      <c r="C48">
        <f t="shared" si="0"/>
        <v>3.335</v>
      </c>
      <c r="D48">
        <f t="shared" si="1"/>
        <v>371.2</v>
      </c>
      <c r="E48">
        <v>98.2</v>
      </c>
      <c r="H48">
        <f t="shared" si="5"/>
        <v>38</v>
      </c>
      <c r="I48">
        <f t="shared" si="2"/>
        <v>3.335</v>
      </c>
      <c r="K48">
        <f t="shared" si="3"/>
        <v>38</v>
      </c>
      <c r="L48" s="2">
        <f t="shared" si="4"/>
        <v>2.4089453587351741</v>
      </c>
    </row>
    <row r="49" spans="1:12" x14ac:dyDescent="0.25">
      <c r="A49" s="4" t="s">
        <v>50</v>
      </c>
      <c r="B49" s="4">
        <v>658</v>
      </c>
      <c r="C49">
        <f t="shared" si="0"/>
        <v>3.29</v>
      </c>
      <c r="D49">
        <f t="shared" si="1"/>
        <v>371.2</v>
      </c>
      <c r="E49">
        <v>98.2</v>
      </c>
      <c r="H49">
        <f t="shared" si="5"/>
        <v>39</v>
      </c>
      <c r="I49">
        <f t="shared" si="2"/>
        <v>3.29</v>
      </c>
      <c r="K49">
        <f t="shared" si="3"/>
        <v>39</v>
      </c>
      <c r="L49" s="2">
        <f t="shared" si="4"/>
        <v>2.3817751295545611</v>
      </c>
    </row>
    <row r="50" spans="1:12" x14ac:dyDescent="0.25">
      <c r="A50" s="4" t="s">
        <v>51</v>
      </c>
      <c r="B50" s="4">
        <v>648</v>
      </c>
      <c r="C50">
        <f t="shared" si="0"/>
        <v>3.24</v>
      </c>
      <c r="D50">
        <f t="shared" si="1"/>
        <v>371.2</v>
      </c>
      <c r="E50">
        <v>98.2</v>
      </c>
      <c r="H50">
        <f t="shared" si="5"/>
        <v>40</v>
      </c>
      <c r="I50">
        <f t="shared" si="2"/>
        <v>3.24</v>
      </c>
      <c r="K50">
        <f t="shared" si="3"/>
        <v>40</v>
      </c>
      <c r="L50" s="2">
        <f t="shared" si="4"/>
        <v>2.3511466596084762</v>
      </c>
    </row>
    <row r="51" spans="1:12" x14ac:dyDescent="0.25">
      <c r="A51" s="4" t="s">
        <v>52</v>
      </c>
      <c r="B51" s="4">
        <v>637</v>
      </c>
      <c r="C51">
        <f t="shared" si="0"/>
        <v>3.1850000000000001</v>
      </c>
      <c r="D51">
        <f t="shared" si="1"/>
        <v>370.6</v>
      </c>
      <c r="E51">
        <v>97.6</v>
      </c>
      <c r="H51">
        <f t="shared" si="5"/>
        <v>41</v>
      </c>
      <c r="I51">
        <f t="shared" si="2"/>
        <v>3.1850000000000001</v>
      </c>
      <c r="K51">
        <f t="shared" si="3"/>
        <v>41</v>
      </c>
      <c r="L51" s="2">
        <f t="shared" si="4"/>
        <v>2.3169045780482533</v>
      </c>
    </row>
    <row r="52" spans="1:12" x14ac:dyDescent="0.25">
      <c r="A52" s="4" t="s">
        <v>53</v>
      </c>
      <c r="B52" s="4">
        <v>628</v>
      </c>
      <c r="C52">
        <f t="shared" si="0"/>
        <v>3.14</v>
      </c>
      <c r="D52">
        <f t="shared" si="1"/>
        <v>370.6</v>
      </c>
      <c r="E52">
        <v>97.6</v>
      </c>
      <c r="H52">
        <f t="shared" si="5"/>
        <v>42</v>
      </c>
      <c r="I52">
        <f t="shared" si="2"/>
        <v>3.14</v>
      </c>
      <c r="K52">
        <f t="shared" si="3"/>
        <v>42</v>
      </c>
      <c r="L52" s="2">
        <f t="shared" si="4"/>
        <v>2.2884455998403239</v>
      </c>
    </row>
    <row r="53" spans="1:12" x14ac:dyDescent="0.25">
      <c r="A53" s="4" t="s">
        <v>54</v>
      </c>
      <c r="B53" s="4">
        <v>618</v>
      </c>
      <c r="C53">
        <f t="shared" si="0"/>
        <v>3.09</v>
      </c>
      <c r="D53">
        <f t="shared" si="1"/>
        <v>370.6</v>
      </c>
      <c r="E53">
        <v>97.6</v>
      </c>
      <c r="H53">
        <f t="shared" si="5"/>
        <v>43</v>
      </c>
      <c r="I53">
        <f t="shared" si="2"/>
        <v>3.09</v>
      </c>
      <c r="K53">
        <f t="shared" si="3"/>
        <v>43</v>
      </c>
      <c r="L53" s="2">
        <f t="shared" si="4"/>
        <v>2.2563421818193081</v>
      </c>
    </row>
    <row r="54" spans="1:12" x14ac:dyDescent="0.25">
      <c r="A54" s="4" t="s">
        <v>55</v>
      </c>
      <c r="B54" s="4">
        <v>610</v>
      </c>
      <c r="C54">
        <f t="shared" si="0"/>
        <v>3.05</v>
      </c>
      <c r="D54">
        <f t="shared" si="1"/>
        <v>370.1</v>
      </c>
      <c r="E54">
        <v>97.1</v>
      </c>
      <c r="H54">
        <f t="shared" si="5"/>
        <v>44</v>
      </c>
      <c r="I54">
        <f t="shared" si="2"/>
        <v>3.05</v>
      </c>
      <c r="K54">
        <f t="shared" si="3"/>
        <v>44</v>
      </c>
      <c r="L54" s="2">
        <f t="shared" si="4"/>
        <v>2.2302831812386406</v>
      </c>
    </row>
    <row r="55" spans="1:12" x14ac:dyDescent="0.25">
      <c r="A55" s="4" t="s">
        <v>56</v>
      </c>
      <c r="B55" s="4">
        <v>600</v>
      </c>
      <c r="C55">
        <f t="shared" si="0"/>
        <v>3</v>
      </c>
      <c r="D55">
        <f t="shared" si="1"/>
        <v>370.1</v>
      </c>
      <c r="E55">
        <v>97.1</v>
      </c>
      <c r="H55">
        <f t="shared" si="5"/>
        <v>45</v>
      </c>
      <c r="I55">
        <f t="shared" si="2"/>
        <v>3</v>
      </c>
      <c r="K55">
        <f t="shared" si="3"/>
        <v>45</v>
      </c>
      <c r="L55" s="2">
        <f t="shared" si="4"/>
        <v>2.1972245773362196</v>
      </c>
    </row>
    <row r="56" spans="1:12" x14ac:dyDescent="0.25">
      <c r="A56" s="4" t="s">
        <v>57</v>
      </c>
      <c r="B56" s="4">
        <v>591</v>
      </c>
      <c r="C56">
        <f t="shared" si="0"/>
        <v>2.9550000000000001</v>
      </c>
      <c r="D56">
        <f t="shared" si="1"/>
        <v>370.1</v>
      </c>
      <c r="E56">
        <v>97.1</v>
      </c>
      <c r="H56">
        <f t="shared" si="5"/>
        <v>46</v>
      </c>
      <c r="I56">
        <f t="shared" si="2"/>
        <v>2.9550000000000001</v>
      </c>
      <c r="K56">
        <f t="shared" si="3"/>
        <v>46</v>
      </c>
      <c r="L56" s="2">
        <f t="shared" si="4"/>
        <v>2.166997301716123</v>
      </c>
    </row>
    <row r="57" spans="1:12" x14ac:dyDescent="0.25">
      <c r="A57" s="4" t="s">
        <v>58</v>
      </c>
      <c r="B57" s="4">
        <v>582</v>
      </c>
      <c r="C57">
        <f t="shared" si="0"/>
        <v>2.91</v>
      </c>
      <c r="D57">
        <f t="shared" si="1"/>
        <v>370.1</v>
      </c>
      <c r="E57">
        <v>97.1</v>
      </c>
      <c r="H57">
        <f t="shared" si="5"/>
        <v>47</v>
      </c>
      <c r="I57">
        <f t="shared" si="2"/>
        <v>2.91</v>
      </c>
      <c r="K57">
        <f t="shared" si="3"/>
        <v>47</v>
      </c>
      <c r="L57" s="2">
        <f t="shared" si="4"/>
        <v>2.1363061623668025</v>
      </c>
    </row>
    <row r="58" spans="1:12" x14ac:dyDescent="0.25">
      <c r="A58" s="4" t="s">
        <v>59</v>
      </c>
      <c r="B58" s="4">
        <v>574</v>
      </c>
      <c r="C58">
        <f t="shared" si="0"/>
        <v>2.87</v>
      </c>
      <c r="D58">
        <f t="shared" si="1"/>
        <v>369.5</v>
      </c>
      <c r="E58">
        <v>96.5</v>
      </c>
      <c r="H58">
        <f t="shared" si="5"/>
        <v>48</v>
      </c>
      <c r="I58">
        <f t="shared" si="2"/>
        <v>2.87</v>
      </c>
      <c r="K58">
        <f t="shared" si="3"/>
        <v>48</v>
      </c>
      <c r="L58" s="2">
        <f t="shared" si="4"/>
        <v>2.1086240595430596</v>
      </c>
    </row>
    <row r="59" spans="1:12" x14ac:dyDescent="0.25">
      <c r="A59" s="4" t="s">
        <v>60</v>
      </c>
      <c r="B59" s="4">
        <v>565</v>
      </c>
      <c r="C59">
        <f t="shared" si="0"/>
        <v>2.8250000000000002</v>
      </c>
      <c r="D59">
        <f t="shared" si="1"/>
        <v>369.5</v>
      </c>
      <c r="E59">
        <v>96.5</v>
      </c>
      <c r="H59">
        <f t="shared" si="5"/>
        <v>49</v>
      </c>
      <c r="I59">
        <f t="shared" si="2"/>
        <v>2.8250000000000002</v>
      </c>
      <c r="K59">
        <f t="shared" si="3"/>
        <v>49</v>
      </c>
      <c r="L59" s="2">
        <f t="shared" si="4"/>
        <v>2.0770167291968087</v>
      </c>
    </row>
    <row r="60" spans="1:12" x14ac:dyDescent="0.25">
      <c r="A60" s="4" t="s">
        <v>61</v>
      </c>
      <c r="B60" s="4">
        <v>557</v>
      </c>
      <c r="C60">
        <f t="shared" si="0"/>
        <v>2.7850000000000001</v>
      </c>
      <c r="D60">
        <f t="shared" si="1"/>
        <v>369.5</v>
      </c>
      <c r="E60">
        <v>96.5</v>
      </c>
      <c r="H60">
        <f t="shared" si="5"/>
        <v>50</v>
      </c>
      <c r="I60">
        <f t="shared" si="2"/>
        <v>2.7850000000000001</v>
      </c>
      <c r="K60">
        <f t="shared" si="3"/>
        <v>50</v>
      </c>
      <c r="L60" s="2">
        <f t="shared" si="4"/>
        <v>2.0484957467584946</v>
      </c>
    </row>
    <row r="61" spans="1:12" x14ac:dyDescent="0.25">
      <c r="A61" s="4" t="s">
        <v>62</v>
      </c>
      <c r="B61" s="4">
        <v>550</v>
      </c>
      <c r="C61">
        <f t="shared" si="0"/>
        <v>2.75</v>
      </c>
      <c r="D61">
        <f t="shared" si="1"/>
        <v>369</v>
      </c>
      <c r="E61">
        <v>96</v>
      </c>
      <c r="H61">
        <f t="shared" si="5"/>
        <v>51</v>
      </c>
      <c r="I61">
        <f t="shared" si="2"/>
        <v>2.75</v>
      </c>
      <c r="K61">
        <f t="shared" si="3"/>
        <v>51</v>
      </c>
      <c r="L61" s="2">
        <f t="shared" si="4"/>
        <v>2.0232018233569597</v>
      </c>
    </row>
    <row r="62" spans="1:12" x14ac:dyDescent="0.25">
      <c r="A62" s="4" t="s">
        <v>63</v>
      </c>
      <c r="B62" s="4">
        <v>541</v>
      </c>
      <c r="C62">
        <f t="shared" si="0"/>
        <v>2.7050000000000001</v>
      </c>
      <c r="D62">
        <f t="shared" si="1"/>
        <v>369</v>
      </c>
      <c r="E62">
        <v>96</v>
      </c>
      <c r="H62">
        <f t="shared" si="5"/>
        <v>52</v>
      </c>
      <c r="I62">
        <f t="shared" si="2"/>
        <v>2.7050000000000001</v>
      </c>
      <c r="K62">
        <f t="shared" si="3"/>
        <v>52</v>
      </c>
      <c r="L62" s="2">
        <f t="shared" si="4"/>
        <v>1.9902038245968896</v>
      </c>
    </row>
    <row r="63" spans="1:12" x14ac:dyDescent="0.25">
      <c r="A63" s="4" t="s">
        <v>64</v>
      </c>
      <c r="B63" s="4">
        <v>535</v>
      </c>
      <c r="C63">
        <f t="shared" si="0"/>
        <v>2.6749999999999998</v>
      </c>
      <c r="D63">
        <f t="shared" si="1"/>
        <v>369</v>
      </c>
      <c r="E63">
        <v>96</v>
      </c>
      <c r="H63">
        <f t="shared" si="5"/>
        <v>53</v>
      </c>
      <c r="I63">
        <f t="shared" si="2"/>
        <v>2.6749999999999998</v>
      </c>
      <c r="K63">
        <f t="shared" si="3"/>
        <v>53</v>
      </c>
      <c r="L63" s="2">
        <f t="shared" si="4"/>
        <v>1.9678987606959395</v>
      </c>
    </row>
    <row r="64" spans="1:12" x14ac:dyDescent="0.25">
      <c r="A64" s="4" t="s">
        <v>65</v>
      </c>
      <c r="B64" s="4">
        <v>527</v>
      </c>
      <c r="C64">
        <f t="shared" si="0"/>
        <v>2.6349999999999998</v>
      </c>
      <c r="D64">
        <f t="shared" si="1"/>
        <v>368.5</v>
      </c>
      <c r="E64">
        <v>95.5</v>
      </c>
      <c r="H64">
        <f t="shared" si="5"/>
        <v>54</v>
      </c>
      <c r="I64">
        <f t="shared" si="2"/>
        <v>2.6349999999999998</v>
      </c>
      <c r="K64">
        <f t="shared" si="3"/>
        <v>54</v>
      </c>
      <c r="L64" s="2">
        <f t="shared" si="4"/>
        <v>1.9377663639866511</v>
      </c>
    </row>
    <row r="65" spans="1:12" x14ac:dyDescent="0.25">
      <c r="A65" s="4" t="s">
        <v>66</v>
      </c>
      <c r="B65" s="4">
        <v>520</v>
      </c>
      <c r="C65">
        <f t="shared" si="0"/>
        <v>2.6</v>
      </c>
      <c r="D65">
        <f t="shared" si="1"/>
        <v>368.5</v>
      </c>
      <c r="E65">
        <v>95.5</v>
      </c>
      <c r="H65">
        <f t="shared" si="5"/>
        <v>55</v>
      </c>
      <c r="I65">
        <f t="shared" si="2"/>
        <v>2.6</v>
      </c>
      <c r="K65">
        <f t="shared" si="3"/>
        <v>55</v>
      </c>
      <c r="L65" s="2">
        <f t="shared" si="4"/>
        <v>1.9110228900548729</v>
      </c>
    </row>
    <row r="66" spans="1:12" x14ac:dyDescent="0.25">
      <c r="A66" s="4" t="s">
        <v>67</v>
      </c>
      <c r="B66" s="4">
        <v>513</v>
      </c>
      <c r="C66">
        <f t="shared" si="0"/>
        <v>2.5649999999999999</v>
      </c>
      <c r="D66">
        <f t="shared" si="1"/>
        <v>368.5</v>
      </c>
      <c r="E66">
        <v>95.5</v>
      </c>
      <c r="H66">
        <f t="shared" si="5"/>
        <v>56</v>
      </c>
      <c r="I66">
        <f t="shared" si="2"/>
        <v>2.5649999999999999</v>
      </c>
      <c r="K66">
        <f t="shared" si="3"/>
        <v>56</v>
      </c>
      <c r="L66" s="2">
        <f t="shared" si="4"/>
        <v>1.8839169572454657</v>
      </c>
    </row>
    <row r="67" spans="1:12" x14ac:dyDescent="0.25">
      <c r="A67" s="4" t="s">
        <v>68</v>
      </c>
      <c r="B67" s="4">
        <v>507</v>
      </c>
      <c r="C67">
        <f t="shared" si="0"/>
        <v>2.5350000000000001</v>
      </c>
      <c r="D67">
        <f t="shared" si="1"/>
        <v>367.9</v>
      </c>
      <c r="E67">
        <v>94.9</v>
      </c>
      <c r="H67">
        <f t="shared" si="5"/>
        <v>57</v>
      </c>
      <c r="I67">
        <f t="shared" si="2"/>
        <v>2.5350000000000001</v>
      </c>
      <c r="K67">
        <f t="shared" si="3"/>
        <v>57</v>
      </c>
      <c r="L67" s="2">
        <f t="shared" si="4"/>
        <v>1.860387274086293</v>
      </c>
    </row>
    <row r="68" spans="1:12" x14ac:dyDescent="0.25">
      <c r="A68" s="4" t="s">
        <v>69</v>
      </c>
      <c r="B68" s="4">
        <v>501</v>
      </c>
      <c r="C68">
        <f t="shared" si="0"/>
        <v>2.5049999999999999</v>
      </c>
      <c r="D68">
        <f t="shared" si="1"/>
        <v>367.9</v>
      </c>
      <c r="E68">
        <v>94.9</v>
      </c>
      <c r="H68">
        <f t="shared" si="5"/>
        <v>58</v>
      </c>
      <c r="I68">
        <f t="shared" si="2"/>
        <v>2.5049999999999999</v>
      </c>
      <c r="K68">
        <f t="shared" si="3"/>
        <v>58</v>
      </c>
      <c r="L68" s="2">
        <f t="shared" si="4"/>
        <v>1.836577469073656</v>
      </c>
    </row>
    <row r="69" spans="1:12" x14ac:dyDescent="0.25">
      <c r="A69" s="4" t="s">
        <v>70</v>
      </c>
      <c r="B69" s="4">
        <v>493</v>
      </c>
      <c r="C69">
        <f t="shared" si="0"/>
        <v>2.4649999999999999</v>
      </c>
      <c r="D69">
        <f t="shared" si="1"/>
        <v>367.9</v>
      </c>
      <c r="E69">
        <v>94.9</v>
      </c>
      <c r="H69">
        <f t="shared" si="5"/>
        <v>59</v>
      </c>
      <c r="I69">
        <f t="shared" si="2"/>
        <v>2.4649999999999999</v>
      </c>
      <c r="K69">
        <f t="shared" si="3"/>
        <v>59</v>
      </c>
      <c r="L69" s="2">
        <f t="shared" si="4"/>
        <v>1.8043836149893067</v>
      </c>
    </row>
    <row r="70" spans="1:12" x14ac:dyDescent="0.25">
      <c r="A70" s="4" t="s">
        <v>71</v>
      </c>
      <c r="B70" s="4">
        <v>487</v>
      </c>
      <c r="C70">
        <f t="shared" si="0"/>
        <v>2.4350000000000001</v>
      </c>
      <c r="D70">
        <f t="shared" si="1"/>
        <v>367</v>
      </c>
      <c r="E70">
        <v>94</v>
      </c>
      <c r="H70">
        <f t="shared" si="5"/>
        <v>60</v>
      </c>
      <c r="I70">
        <f t="shared" si="2"/>
        <v>2.4350000000000001</v>
      </c>
      <c r="K70">
        <f t="shared" si="3"/>
        <v>60</v>
      </c>
      <c r="L70" s="2">
        <f t="shared" si="4"/>
        <v>1.7798935130691063</v>
      </c>
    </row>
    <row r="71" spans="1:12" x14ac:dyDescent="0.25">
      <c r="A71" s="4" t="s">
        <v>72</v>
      </c>
      <c r="B71" s="4">
        <v>481</v>
      </c>
      <c r="C71">
        <f t="shared" si="0"/>
        <v>2.4049999999999998</v>
      </c>
      <c r="D71">
        <f t="shared" si="1"/>
        <v>367</v>
      </c>
      <c r="E71">
        <v>94</v>
      </c>
      <c r="H71">
        <f t="shared" si="5"/>
        <v>61</v>
      </c>
      <c r="I71">
        <f t="shared" si="2"/>
        <v>2.4049999999999998</v>
      </c>
      <c r="K71">
        <f t="shared" si="3"/>
        <v>61</v>
      </c>
      <c r="L71" s="2">
        <f t="shared" si="4"/>
        <v>1.7550998071154489</v>
      </c>
    </row>
    <row r="72" spans="1:12" x14ac:dyDescent="0.25">
      <c r="A72" s="4" t="s">
        <v>73</v>
      </c>
      <c r="B72" s="4">
        <v>476</v>
      </c>
      <c r="C72">
        <f t="shared" si="0"/>
        <v>2.38</v>
      </c>
      <c r="D72">
        <f t="shared" si="1"/>
        <v>367</v>
      </c>
      <c r="E72">
        <v>94</v>
      </c>
      <c r="H72">
        <f t="shared" si="5"/>
        <v>62</v>
      </c>
      <c r="I72">
        <f t="shared" si="2"/>
        <v>2.38</v>
      </c>
      <c r="K72">
        <f t="shared" si="3"/>
        <v>62</v>
      </c>
      <c r="L72" s="2">
        <f t="shared" si="4"/>
        <v>1.7342009753667667</v>
      </c>
    </row>
    <row r="73" spans="1:12" x14ac:dyDescent="0.25">
      <c r="A73" s="4" t="s">
        <v>74</v>
      </c>
      <c r="B73" s="4">
        <v>469</v>
      </c>
      <c r="C73">
        <f t="shared" si="0"/>
        <v>2.3450000000000002</v>
      </c>
      <c r="D73">
        <f t="shared" si="1"/>
        <v>367</v>
      </c>
      <c r="E73">
        <v>94</v>
      </c>
      <c r="H73">
        <f t="shared" si="5"/>
        <v>63</v>
      </c>
      <c r="I73">
        <f t="shared" si="2"/>
        <v>2.3450000000000002</v>
      </c>
      <c r="K73">
        <f t="shared" si="3"/>
        <v>63</v>
      </c>
      <c r="L73" s="2">
        <f t="shared" si="4"/>
        <v>1.7045708037964855</v>
      </c>
    </row>
    <row r="74" spans="1:12" x14ac:dyDescent="0.25">
      <c r="A74" s="4" t="s">
        <v>75</v>
      </c>
      <c r="B74" s="4">
        <v>463</v>
      </c>
      <c r="C74">
        <f t="shared" si="0"/>
        <v>2.3149999999999999</v>
      </c>
      <c r="D74">
        <f t="shared" si="1"/>
        <v>366.1</v>
      </c>
      <c r="E74">
        <v>93.1</v>
      </c>
      <c r="H74">
        <f t="shared" si="5"/>
        <v>64</v>
      </c>
      <c r="I74">
        <f t="shared" si="2"/>
        <v>2.3149999999999999</v>
      </c>
      <c r="K74">
        <f t="shared" si="3"/>
        <v>64</v>
      </c>
      <c r="L74" s="2">
        <f t="shared" si="4"/>
        <v>1.6788193750763947</v>
      </c>
    </row>
    <row r="75" spans="1:12" x14ac:dyDescent="0.25">
      <c r="A75" s="4" t="s">
        <v>76</v>
      </c>
      <c r="B75" s="4">
        <v>458</v>
      </c>
      <c r="C75">
        <f t="shared" ref="C75:C138" si="6">B75/200</f>
        <v>2.29</v>
      </c>
      <c r="D75">
        <f t="shared" ref="D75:D138" si="7">273+E75</f>
        <v>366.1</v>
      </c>
      <c r="E75">
        <v>93.1</v>
      </c>
      <c r="H75">
        <f t="shared" si="5"/>
        <v>65</v>
      </c>
      <c r="I75">
        <f t="shared" ref="I75:I138" si="8">C75</f>
        <v>2.29</v>
      </c>
      <c r="K75">
        <f t="shared" ref="K75:K138" si="9">H75</f>
        <v>65</v>
      </c>
      <c r="L75" s="2">
        <f t="shared" ref="L75:L138" si="10">LN(I75*I75)</f>
        <v>1.6571036351322967</v>
      </c>
    </row>
    <row r="76" spans="1:12" x14ac:dyDescent="0.25">
      <c r="A76" s="4" t="s">
        <v>77</v>
      </c>
      <c r="B76" s="4">
        <v>452</v>
      </c>
      <c r="C76">
        <f t="shared" si="6"/>
        <v>2.2599999999999998</v>
      </c>
      <c r="D76">
        <f t="shared" si="7"/>
        <v>366.1</v>
      </c>
      <c r="E76">
        <v>93.1</v>
      </c>
      <c r="H76">
        <f t="shared" ref="H76:H139" si="11">H75+1</f>
        <v>66</v>
      </c>
      <c r="I76">
        <f t="shared" si="8"/>
        <v>2.2599999999999998</v>
      </c>
      <c r="K76">
        <f t="shared" si="9"/>
        <v>66</v>
      </c>
      <c r="L76" s="2">
        <f t="shared" si="10"/>
        <v>1.6307296265683888</v>
      </c>
    </row>
    <row r="77" spans="1:12" x14ac:dyDescent="0.25">
      <c r="A77" s="4" t="s">
        <v>78</v>
      </c>
      <c r="B77" s="4">
        <v>447</v>
      </c>
      <c r="C77">
        <f t="shared" si="6"/>
        <v>2.2349999999999999</v>
      </c>
      <c r="D77">
        <f t="shared" si="7"/>
        <v>365.5</v>
      </c>
      <c r="E77">
        <v>92.5</v>
      </c>
      <c r="H77">
        <f t="shared" si="11"/>
        <v>67</v>
      </c>
      <c r="I77">
        <f t="shared" si="8"/>
        <v>2.2349999999999999</v>
      </c>
      <c r="K77">
        <f t="shared" si="9"/>
        <v>67</v>
      </c>
      <c r="L77" s="2">
        <f t="shared" si="10"/>
        <v>1.6084824561310642</v>
      </c>
    </row>
    <row r="78" spans="1:12" x14ac:dyDescent="0.25">
      <c r="A78" s="4" t="s">
        <v>79</v>
      </c>
      <c r="B78" s="4">
        <v>441</v>
      </c>
      <c r="C78">
        <f t="shared" si="6"/>
        <v>2.2050000000000001</v>
      </c>
      <c r="D78">
        <f t="shared" si="7"/>
        <v>365.5</v>
      </c>
      <c r="E78">
        <v>92.5</v>
      </c>
      <c r="H78">
        <f t="shared" si="11"/>
        <v>68</v>
      </c>
      <c r="I78">
        <f t="shared" si="8"/>
        <v>2.2050000000000001</v>
      </c>
      <c r="K78">
        <f t="shared" si="9"/>
        <v>68</v>
      </c>
      <c r="L78" s="2">
        <f t="shared" si="10"/>
        <v>1.5814550177976185</v>
      </c>
    </row>
    <row r="79" spans="1:12" x14ac:dyDescent="0.25">
      <c r="A79" s="4" t="s">
        <v>80</v>
      </c>
      <c r="B79" s="4">
        <v>435</v>
      </c>
      <c r="C79">
        <f t="shared" si="6"/>
        <v>2.1749999999999998</v>
      </c>
      <c r="D79">
        <f t="shared" si="7"/>
        <v>365.5</v>
      </c>
      <c r="E79">
        <v>92.5</v>
      </c>
      <c r="H79">
        <f t="shared" si="11"/>
        <v>69</v>
      </c>
      <c r="I79">
        <f t="shared" si="8"/>
        <v>2.1749999999999998</v>
      </c>
      <c r="K79">
        <f t="shared" si="9"/>
        <v>69</v>
      </c>
      <c r="L79" s="2">
        <f t="shared" si="10"/>
        <v>1.5540573290812947</v>
      </c>
    </row>
    <row r="80" spans="1:12" x14ac:dyDescent="0.25">
      <c r="A80" s="4" t="s">
        <v>81</v>
      </c>
      <c r="B80" s="4">
        <v>430</v>
      </c>
      <c r="C80">
        <f t="shared" si="6"/>
        <v>2.15</v>
      </c>
      <c r="D80">
        <f t="shared" si="7"/>
        <v>364.9</v>
      </c>
      <c r="E80">
        <v>91.9</v>
      </c>
      <c r="H80">
        <f t="shared" si="11"/>
        <v>70</v>
      </c>
      <c r="I80">
        <f t="shared" si="8"/>
        <v>2.15</v>
      </c>
      <c r="K80">
        <f t="shared" si="9"/>
        <v>70</v>
      </c>
      <c r="L80" s="2">
        <f t="shared" si="10"/>
        <v>1.5309356842791428</v>
      </c>
    </row>
    <row r="81" spans="1:12" x14ac:dyDescent="0.25">
      <c r="A81" s="4" t="s">
        <v>82</v>
      </c>
      <c r="B81" s="4">
        <v>425</v>
      </c>
      <c r="C81">
        <f t="shared" si="6"/>
        <v>2.125</v>
      </c>
      <c r="D81">
        <f t="shared" si="7"/>
        <v>364.9</v>
      </c>
      <c r="E81">
        <v>91.9</v>
      </c>
      <c r="H81">
        <f t="shared" si="11"/>
        <v>71</v>
      </c>
      <c r="I81">
        <f t="shared" si="8"/>
        <v>2.125</v>
      </c>
      <c r="K81">
        <f t="shared" si="9"/>
        <v>71</v>
      </c>
      <c r="L81" s="2">
        <f t="shared" si="10"/>
        <v>1.5075436047527604</v>
      </c>
    </row>
    <row r="82" spans="1:12" x14ac:dyDescent="0.25">
      <c r="A82" s="4" t="s">
        <v>83</v>
      </c>
      <c r="B82" s="4">
        <v>419</v>
      </c>
      <c r="C82">
        <f t="shared" si="6"/>
        <v>2.0950000000000002</v>
      </c>
      <c r="D82">
        <f t="shared" si="7"/>
        <v>364.9</v>
      </c>
      <c r="E82">
        <v>91.9</v>
      </c>
      <c r="H82">
        <f t="shared" si="11"/>
        <v>72</v>
      </c>
      <c r="I82">
        <f t="shared" si="8"/>
        <v>2.0950000000000002</v>
      </c>
      <c r="K82">
        <f t="shared" si="9"/>
        <v>72</v>
      </c>
      <c r="L82" s="2">
        <f t="shared" si="10"/>
        <v>1.4791071067482024</v>
      </c>
    </row>
    <row r="83" spans="1:12" x14ac:dyDescent="0.25">
      <c r="A83" s="4" t="s">
        <v>84</v>
      </c>
      <c r="B83" s="4">
        <v>416</v>
      </c>
      <c r="C83">
        <f t="shared" si="6"/>
        <v>2.08</v>
      </c>
      <c r="D83">
        <f t="shared" si="7"/>
        <v>364.4</v>
      </c>
      <c r="E83">
        <v>91.4</v>
      </c>
      <c r="H83">
        <f t="shared" si="11"/>
        <v>73</v>
      </c>
      <c r="I83">
        <f t="shared" si="8"/>
        <v>2.08</v>
      </c>
      <c r="K83">
        <f t="shared" si="9"/>
        <v>73</v>
      </c>
      <c r="L83" s="2">
        <f t="shared" si="10"/>
        <v>1.4647357874264533</v>
      </c>
    </row>
    <row r="84" spans="1:12" x14ac:dyDescent="0.25">
      <c r="A84" s="4" t="s">
        <v>85</v>
      </c>
      <c r="B84" s="4">
        <v>412</v>
      </c>
      <c r="C84">
        <f t="shared" si="6"/>
        <v>2.06</v>
      </c>
      <c r="D84">
        <f t="shared" si="7"/>
        <v>364.4</v>
      </c>
      <c r="E84">
        <v>91.4</v>
      </c>
      <c r="H84">
        <f t="shared" si="11"/>
        <v>74</v>
      </c>
      <c r="I84">
        <f t="shared" si="8"/>
        <v>2.06</v>
      </c>
      <c r="K84">
        <f t="shared" si="9"/>
        <v>74</v>
      </c>
      <c r="L84" s="2">
        <f t="shared" si="10"/>
        <v>1.4454119656029794</v>
      </c>
    </row>
    <row r="85" spans="1:12" x14ac:dyDescent="0.25">
      <c r="A85" s="4" t="s">
        <v>86</v>
      </c>
      <c r="B85" s="4">
        <v>406</v>
      </c>
      <c r="C85">
        <f t="shared" si="6"/>
        <v>2.0299999999999998</v>
      </c>
      <c r="D85">
        <f t="shared" si="7"/>
        <v>364.4</v>
      </c>
      <c r="E85">
        <v>91.4</v>
      </c>
      <c r="H85">
        <f t="shared" si="11"/>
        <v>75</v>
      </c>
      <c r="I85">
        <f t="shared" si="8"/>
        <v>2.0299999999999998</v>
      </c>
      <c r="K85">
        <f t="shared" si="9"/>
        <v>75</v>
      </c>
      <c r="L85" s="2">
        <f t="shared" si="10"/>
        <v>1.4160715861073916</v>
      </c>
    </row>
    <row r="86" spans="1:12" x14ac:dyDescent="0.25">
      <c r="A86" s="4" t="s">
        <v>87</v>
      </c>
      <c r="B86" s="4">
        <v>402</v>
      </c>
      <c r="C86">
        <f t="shared" si="6"/>
        <v>2.0099999999999998</v>
      </c>
      <c r="D86">
        <f t="shared" si="7"/>
        <v>363.8</v>
      </c>
      <c r="E86">
        <v>90.8</v>
      </c>
      <c r="H86">
        <f t="shared" si="11"/>
        <v>76</v>
      </c>
      <c r="I86">
        <f t="shared" si="8"/>
        <v>2.0099999999999998</v>
      </c>
      <c r="K86">
        <f t="shared" si="9"/>
        <v>76</v>
      </c>
      <c r="L86" s="2">
        <f t="shared" si="10"/>
        <v>1.3962694441419685</v>
      </c>
    </row>
    <row r="87" spans="1:12" x14ac:dyDescent="0.25">
      <c r="A87" s="4" t="s">
        <v>88</v>
      </c>
      <c r="B87" s="4">
        <v>397</v>
      </c>
      <c r="C87">
        <f t="shared" si="6"/>
        <v>1.9850000000000001</v>
      </c>
      <c r="D87">
        <f t="shared" si="7"/>
        <v>363.8</v>
      </c>
      <c r="E87">
        <v>90.8</v>
      </c>
      <c r="H87">
        <f t="shared" si="11"/>
        <v>77</v>
      </c>
      <c r="I87">
        <f t="shared" si="8"/>
        <v>1.9850000000000001</v>
      </c>
      <c r="K87">
        <f t="shared" si="9"/>
        <v>77</v>
      </c>
      <c r="L87" s="2">
        <f t="shared" si="10"/>
        <v>1.3712378282783075</v>
      </c>
    </row>
    <row r="88" spans="1:12" x14ac:dyDescent="0.25">
      <c r="A88" s="4" t="s">
        <v>89</v>
      </c>
      <c r="B88" s="4">
        <v>393</v>
      </c>
      <c r="C88">
        <f t="shared" si="6"/>
        <v>1.9650000000000001</v>
      </c>
      <c r="D88">
        <f t="shared" si="7"/>
        <v>363.8</v>
      </c>
      <c r="E88">
        <v>90.8</v>
      </c>
      <c r="H88">
        <f t="shared" si="11"/>
        <v>78</v>
      </c>
      <c r="I88">
        <f t="shared" si="8"/>
        <v>1.9650000000000001</v>
      </c>
      <c r="K88">
        <f t="shared" si="9"/>
        <v>78</v>
      </c>
      <c r="L88" s="2">
        <f t="shared" si="10"/>
        <v>1.3509844906424491</v>
      </c>
    </row>
    <row r="89" spans="1:12" x14ac:dyDescent="0.25">
      <c r="A89" s="4" t="s">
        <v>90</v>
      </c>
      <c r="B89" s="4">
        <v>389</v>
      </c>
      <c r="C89">
        <f t="shared" si="6"/>
        <v>1.9450000000000001</v>
      </c>
      <c r="D89">
        <f t="shared" si="7"/>
        <v>363.8</v>
      </c>
      <c r="E89">
        <v>90.8</v>
      </c>
      <c r="H89">
        <f t="shared" si="11"/>
        <v>79</v>
      </c>
      <c r="I89">
        <f t="shared" si="8"/>
        <v>1.9450000000000001</v>
      </c>
      <c r="K89">
        <f t="shared" si="9"/>
        <v>79</v>
      </c>
      <c r="L89" s="2">
        <f t="shared" si="10"/>
        <v>1.3305239541408194</v>
      </c>
    </row>
    <row r="90" spans="1:12" x14ac:dyDescent="0.25">
      <c r="A90" s="4" t="s">
        <v>91</v>
      </c>
      <c r="B90" s="4">
        <v>386</v>
      </c>
      <c r="C90">
        <f t="shared" si="6"/>
        <v>1.93</v>
      </c>
      <c r="D90">
        <f t="shared" si="7"/>
        <v>363.2</v>
      </c>
      <c r="E90">
        <v>90.2</v>
      </c>
      <c r="H90">
        <f t="shared" si="11"/>
        <v>80</v>
      </c>
      <c r="I90">
        <f t="shared" si="8"/>
        <v>1.93</v>
      </c>
      <c r="K90">
        <f t="shared" si="9"/>
        <v>80</v>
      </c>
      <c r="L90" s="2">
        <f t="shared" si="10"/>
        <v>1.3150400058335883</v>
      </c>
    </row>
    <row r="91" spans="1:12" x14ac:dyDescent="0.25">
      <c r="A91" s="4" t="s">
        <v>92</v>
      </c>
      <c r="B91" s="4">
        <v>381</v>
      </c>
      <c r="C91">
        <f t="shared" si="6"/>
        <v>1.905</v>
      </c>
      <c r="D91">
        <f t="shared" si="7"/>
        <v>363.2</v>
      </c>
      <c r="E91">
        <v>90.2</v>
      </c>
      <c r="H91">
        <f t="shared" si="11"/>
        <v>81</v>
      </c>
      <c r="I91">
        <f t="shared" si="8"/>
        <v>1.905</v>
      </c>
      <c r="K91">
        <f t="shared" si="9"/>
        <v>81</v>
      </c>
      <c r="L91" s="2">
        <f t="shared" si="10"/>
        <v>1.2889640171573287</v>
      </c>
    </row>
    <row r="92" spans="1:12" x14ac:dyDescent="0.25">
      <c r="A92" s="4" t="s">
        <v>93</v>
      </c>
      <c r="B92" s="4">
        <v>377</v>
      </c>
      <c r="C92">
        <f t="shared" si="6"/>
        <v>1.885</v>
      </c>
      <c r="D92">
        <f t="shared" si="7"/>
        <v>363.2</v>
      </c>
      <c r="E92">
        <v>90.2</v>
      </c>
      <c r="H92">
        <f t="shared" si="11"/>
        <v>82</v>
      </c>
      <c r="I92">
        <f t="shared" si="8"/>
        <v>1.885</v>
      </c>
      <c r="K92">
        <f t="shared" si="9"/>
        <v>82</v>
      </c>
      <c r="L92" s="2">
        <f t="shared" si="10"/>
        <v>1.267855641799948</v>
      </c>
    </row>
    <row r="93" spans="1:12" x14ac:dyDescent="0.25">
      <c r="A93" s="4" t="s">
        <v>94</v>
      </c>
      <c r="B93" s="4">
        <v>372</v>
      </c>
      <c r="C93">
        <f t="shared" si="6"/>
        <v>1.86</v>
      </c>
      <c r="D93">
        <f t="shared" si="7"/>
        <v>362.8</v>
      </c>
      <c r="E93">
        <v>89.8</v>
      </c>
      <c r="H93">
        <f t="shared" si="11"/>
        <v>83</v>
      </c>
      <c r="I93">
        <f t="shared" si="8"/>
        <v>1.86</v>
      </c>
      <c r="K93">
        <f t="shared" si="9"/>
        <v>83</v>
      </c>
      <c r="L93" s="2">
        <f t="shared" si="10"/>
        <v>1.24115297545022</v>
      </c>
    </row>
    <row r="94" spans="1:12" x14ac:dyDescent="0.25">
      <c r="A94" s="4" t="s">
        <v>95</v>
      </c>
      <c r="B94" s="4">
        <v>368</v>
      </c>
      <c r="C94">
        <f t="shared" si="6"/>
        <v>1.84</v>
      </c>
      <c r="D94">
        <f t="shared" si="7"/>
        <v>362.8</v>
      </c>
      <c r="E94">
        <v>89.8</v>
      </c>
      <c r="H94">
        <f t="shared" si="11"/>
        <v>84</v>
      </c>
      <c r="I94">
        <f t="shared" si="8"/>
        <v>1.84</v>
      </c>
      <c r="K94">
        <f t="shared" si="9"/>
        <v>84</v>
      </c>
      <c r="L94" s="2">
        <f t="shared" si="10"/>
        <v>1.2195311432417886</v>
      </c>
    </row>
    <row r="95" spans="1:12" x14ac:dyDescent="0.25">
      <c r="A95" s="4" t="s">
        <v>96</v>
      </c>
      <c r="B95" s="4">
        <v>365</v>
      </c>
      <c r="C95">
        <f t="shared" si="6"/>
        <v>1.825</v>
      </c>
      <c r="D95">
        <f t="shared" si="7"/>
        <v>362.8</v>
      </c>
      <c r="E95">
        <v>89.8</v>
      </c>
      <c r="H95">
        <f t="shared" si="11"/>
        <v>85</v>
      </c>
      <c r="I95">
        <f t="shared" si="8"/>
        <v>1.825</v>
      </c>
      <c r="K95">
        <f t="shared" si="9"/>
        <v>85</v>
      </c>
      <c r="L95" s="2">
        <f t="shared" si="10"/>
        <v>1.2031599740689096</v>
      </c>
    </row>
    <row r="96" spans="1:12" x14ac:dyDescent="0.25">
      <c r="A96" s="4" t="s">
        <v>97</v>
      </c>
      <c r="B96" s="4">
        <v>362</v>
      </c>
      <c r="C96">
        <f t="shared" si="6"/>
        <v>1.81</v>
      </c>
      <c r="D96">
        <f t="shared" si="7"/>
        <v>362.2</v>
      </c>
      <c r="E96">
        <v>89.2</v>
      </c>
      <c r="H96">
        <f t="shared" si="11"/>
        <v>86</v>
      </c>
      <c r="I96">
        <f t="shared" si="8"/>
        <v>1.81</v>
      </c>
      <c r="K96">
        <f t="shared" si="9"/>
        <v>86</v>
      </c>
      <c r="L96" s="2">
        <f t="shared" si="10"/>
        <v>1.1866536905554688</v>
      </c>
    </row>
    <row r="97" spans="1:12" x14ac:dyDescent="0.25">
      <c r="A97" s="4" t="s">
        <v>98</v>
      </c>
      <c r="B97" s="4">
        <v>357</v>
      </c>
      <c r="C97">
        <f t="shared" si="6"/>
        <v>1.7849999999999999</v>
      </c>
      <c r="D97">
        <f t="shared" si="7"/>
        <v>362.2</v>
      </c>
      <c r="E97">
        <v>89.2</v>
      </c>
      <c r="H97">
        <f t="shared" si="11"/>
        <v>87</v>
      </c>
      <c r="I97">
        <f t="shared" si="8"/>
        <v>1.7849999999999999</v>
      </c>
      <c r="K97">
        <f t="shared" si="9"/>
        <v>87</v>
      </c>
      <c r="L97" s="2">
        <f t="shared" si="10"/>
        <v>1.1588368304632048</v>
      </c>
    </row>
    <row r="98" spans="1:12" x14ac:dyDescent="0.25">
      <c r="A98" s="4" t="s">
        <v>99</v>
      </c>
      <c r="B98" s="4">
        <v>354</v>
      </c>
      <c r="C98">
        <f t="shared" si="6"/>
        <v>1.77</v>
      </c>
      <c r="D98">
        <f t="shared" si="7"/>
        <v>362.2</v>
      </c>
      <c r="E98">
        <v>89.2</v>
      </c>
      <c r="H98">
        <f t="shared" si="11"/>
        <v>88</v>
      </c>
      <c r="I98">
        <f t="shared" si="8"/>
        <v>1.77</v>
      </c>
      <c r="K98">
        <f t="shared" si="9"/>
        <v>88</v>
      </c>
      <c r="L98" s="2">
        <f t="shared" si="10"/>
        <v>1.1419590931714756</v>
      </c>
    </row>
    <row r="99" spans="1:12" x14ac:dyDescent="0.25">
      <c r="A99" s="4" t="s">
        <v>100</v>
      </c>
      <c r="B99" s="4">
        <v>351</v>
      </c>
      <c r="C99">
        <f t="shared" si="6"/>
        <v>1.7549999999999999</v>
      </c>
      <c r="D99">
        <f t="shared" si="7"/>
        <v>361.7</v>
      </c>
      <c r="E99">
        <v>88.7</v>
      </c>
      <c r="H99">
        <f t="shared" si="11"/>
        <v>89</v>
      </c>
      <c r="I99">
        <f t="shared" si="8"/>
        <v>1.7549999999999999</v>
      </c>
      <c r="K99">
        <f t="shared" si="9"/>
        <v>89</v>
      </c>
      <c r="L99" s="2">
        <f t="shared" si="10"/>
        <v>1.1249377138356582</v>
      </c>
    </row>
    <row r="100" spans="1:12" x14ac:dyDescent="0.25">
      <c r="A100" s="4" t="s">
        <v>101</v>
      </c>
      <c r="B100" s="4">
        <v>347</v>
      </c>
      <c r="C100">
        <f t="shared" si="6"/>
        <v>1.7350000000000001</v>
      </c>
      <c r="D100">
        <f t="shared" si="7"/>
        <v>361.7</v>
      </c>
      <c r="E100">
        <v>88.7</v>
      </c>
      <c r="H100">
        <f t="shared" si="11"/>
        <v>90</v>
      </c>
      <c r="I100">
        <f t="shared" si="8"/>
        <v>1.7350000000000001</v>
      </c>
      <c r="K100">
        <f t="shared" si="9"/>
        <v>90</v>
      </c>
      <c r="L100" s="2">
        <f t="shared" si="10"/>
        <v>1.1020148267976451</v>
      </c>
    </row>
    <row r="101" spans="1:12" x14ac:dyDescent="0.25">
      <c r="A101" s="4" t="s">
        <v>102</v>
      </c>
      <c r="B101" s="4">
        <v>343</v>
      </c>
      <c r="C101">
        <f t="shared" si="6"/>
        <v>1.7150000000000001</v>
      </c>
      <c r="D101">
        <f t="shared" si="7"/>
        <v>361.7</v>
      </c>
      <c r="E101">
        <v>88.7</v>
      </c>
      <c r="H101">
        <f t="shared" si="11"/>
        <v>91</v>
      </c>
      <c r="I101">
        <f t="shared" si="8"/>
        <v>1.7150000000000001</v>
      </c>
      <c r="K101">
        <f t="shared" si="9"/>
        <v>91</v>
      </c>
      <c r="L101" s="2">
        <f t="shared" si="10"/>
        <v>1.0788261612358065</v>
      </c>
    </row>
    <row r="102" spans="1:12" x14ac:dyDescent="0.25">
      <c r="A102" s="4" t="s">
        <v>103</v>
      </c>
      <c r="B102" s="4">
        <v>340</v>
      </c>
      <c r="C102">
        <f t="shared" si="6"/>
        <v>1.7</v>
      </c>
      <c r="D102">
        <f t="shared" si="7"/>
        <v>361.1</v>
      </c>
      <c r="E102">
        <v>88.1</v>
      </c>
      <c r="H102">
        <f t="shared" si="11"/>
        <v>92</v>
      </c>
      <c r="I102">
        <f t="shared" si="8"/>
        <v>1.7</v>
      </c>
      <c r="K102">
        <f t="shared" si="9"/>
        <v>92</v>
      </c>
      <c r="L102" s="2">
        <f t="shared" si="10"/>
        <v>1.0612565021243408</v>
      </c>
    </row>
    <row r="103" spans="1:12" x14ac:dyDescent="0.25">
      <c r="A103" s="4" t="s">
        <v>104</v>
      </c>
      <c r="B103" s="4">
        <v>337</v>
      </c>
      <c r="C103">
        <f t="shared" si="6"/>
        <v>1.6850000000000001</v>
      </c>
      <c r="D103">
        <f t="shared" si="7"/>
        <v>361.1</v>
      </c>
      <c r="E103">
        <v>88.1</v>
      </c>
      <c r="H103">
        <f t="shared" si="11"/>
        <v>93</v>
      </c>
      <c r="I103">
        <f t="shared" si="8"/>
        <v>1.6850000000000001</v>
      </c>
      <c r="K103">
        <f t="shared" si="9"/>
        <v>93</v>
      </c>
      <c r="L103" s="2">
        <f t="shared" si="10"/>
        <v>1.0435311276086503</v>
      </c>
    </row>
    <row r="104" spans="1:12" x14ac:dyDescent="0.25">
      <c r="A104" s="4" t="s">
        <v>105</v>
      </c>
      <c r="B104" s="4">
        <v>334</v>
      </c>
      <c r="C104">
        <f t="shared" si="6"/>
        <v>1.67</v>
      </c>
      <c r="D104">
        <f t="shared" si="7"/>
        <v>361.1</v>
      </c>
      <c r="E104">
        <v>88.1</v>
      </c>
      <c r="H104">
        <f t="shared" si="11"/>
        <v>94</v>
      </c>
      <c r="I104">
        <f t="shared" si="8"/>
        <v>1.67</v>
      </c>
      <c r="K104">
        <f t="shared" si="9"/>
        <v>94</v>
      </c>
      <c r="L104" s="2">
        <f t="shared" si="10"/>
        <v>1.0256472528573275</v>
      </c>
    </row>
    <row r="105" spans="1:12" x14ac:dyDescent="0.25">
      <c r="A105" s="4" t="s">
        <v>106</v>
      </c>
      <c r="B105" s="4">
        <v>331</v>
      </c>
      <c r="C105">
        <f t="shared" si="6"/>
        <v>1.655</v>
      </c>
      <c r="D105">
        <f t="shared" si="7"/>
        <v>361.1</v>
      </c>
      <c r="E105">
        <v>88.1</v>
      </c>
      <c r="H105">
        <f t="shared" si="11"/>
        <v>95</v>
      </c>
      <c r="I105">
        <f t="shared" si="8"/>
        <v>1.655</v>
      </c>
      <c r="K105">
        <f t="shared" si="9"/>
        <v>95</v>
      </c>
      <c r="L105" s="2">
        <f t="shared" si="10"/>
        <v>1.0076020176580525</v>
      </c>
    </row>
    <row r="106" spans="1:12" x14ac:dyDescent="0.25">
      <c r="A106" s="4" t="s">
        <v>107</v>
      </c>
      <c r="B106" s="4">
        <v>329</v>
      </c>
      <c r="C106">
        <f t="shared" si="6"/>
        <v>1.645</v>
      </c>
      <c r="D106">
        <f t="shared" si="7"/>
        <v>360.5</v>
      </c>
      <c r="E106">
        <v>87.5</v>
      </c>
      <c r="H106">
        <f t="shared" si="11"/>
        <v>96</v>
      </c>
      <c r="I106">
        <f t="shared" si="8"/>
        <v>1.645</v>
      </c>
      <c r="K106">
        <f t="shared" si="9"/>
        <v>96</v>
      </c>
      <c r="L106" s="2">
        <f t="shared" si="10"/>
        <v>0.99548076843467037</v>
      </c>
    </row>
    <row r="107" spans="1:12" x14ac:dyDescent="0.25">
      <c r="A107" s="4" t="s">
        <v>108</v>
      </c>
      <c r="B107" s="4">
        <v>325</v>
      </c>
      <c r="C107">
        <f t="shared" si="6"/>
        <v>1.625</v>
      </c>
      <c r="D107">
        <f t="shared" si="7"/>
        <v>360.5</v>
      </c>
      <c r="E107">
        <v>87.5</v>
      </c>
      <c r="H107">
        <f t="shared" si="11"/>
        <v>97</v>
      </c>
      <c r="I107">
        <f t="shared" si="8"/>
        <v>1.625</v>
      </c>
      <c r="K107">
        <f t="shared" si="9"/>
        <v>97</v>
      </c>
      <c r="L107" s="2">
        <f t="shared" si="10"/>
        <v>0.97101563156340165</v>
      </c>
    </row>
    <row r="108" spans="1:12" x14ac:dyDescent="0.25">
      <c r="A108" s="4" t="s">
        <v>109</v>
      </c>
      <c r="B108" s="4">
        <v>322</v>
      </c>
      <c r="C108">
        <f t="shared" si="6"/>
        <v>1.61</v>
      </c>
      <c r="D108">
        <f t="shared" si="7"/>
        <v>360.5</v>
      </c>
      <c r="E108">
        <v>87.5</v>
      </c>
      <c r="H108">
        <f t="shared" si="11"/>
        <v>98</v>
      </c>
      <c r="I108">
        <f t="shared" si="8"/>
        <v>1.61</v>
      </c>
      <c r="K108">
        <f t="shared" si="9"/>
        <v>98</v>
      </c>
      <c r="L108" s="2">
        <f t="shared" si="10"/>
        <v>0.95246835799274332</v>
      </c>
    </row>
    <row r="109" spans="1:12" x14ac:dyDescent="0.25">
      <c r="A109" s="4" t="s">
        <v>110</v>
      </c>
      <c r="B109" s="4">
        <v>320</v>
      </c>
      <c r="C109">
        <f t="shared" si="6"/>
        <v>1.6</v>
      </c>
      <c r="D109">
        <f t="shared" si="7"/>
        <v>359.9</v>
      </c>
      <c r="E109">
        <v>86.9</v>
      </c>
      <c r="H109">
        <f t="shared" si="11"/>
        <v>99</v>
      </c>
      <c r="I109">
        <f t="shared" si="8"/>
        <v>1.6</v>
      </c>
      <c r="K109">
        <f t="shared" si="9"/>
        <v>99</v>
      </c>
      <c r="L109" s="2">
        <f t="shared" si="10"/>
        <v>0.94000725849147126</v>
      </c>
    </row>
    <row r="110" spans="1:12" x14ac:dyDescent="0.25">
      <c r="A110" s="4" t="s">
        <v>111</v>
      </c>
      <c r="B110" s="4">
        <v>316</v>
      </c>
      <c r="C110">
        <f t="shared" si="6"/>
        <v>1.58</v>
      </c>
      <c r="D110">
        <f t="shared" si="7"/>
        <v>359.9</v>
      </c>
      <c r="E110">
        <v>86.9</v>
      </c>
      <c r="H110">
        <f t="shared" si="11"/>
        <v>100</v>
      </c>
      <c r="I110">
        <f t="shared" si="8"/>
        <v>1.58</v>
      </c>
      <c r="K110">
        <f t="shared" si="9"/>
        <v>100</v>
      </c>
      <c r="L110" s="2">
        <f t="shared" si="10"/>
        <v>0.91484969407775107</v>
      </c>
    </row>
    <row r="111" spans="1:12" x14ac:dyDescent="0.25">
      <c r="A111" s="4" t="s">
        <v>112</v>
      </c>
      <c r="B111" s="4">
        <v>313</v>
      </c>
      <c r="C111">
        <f t="shared" si="6"/>
        <v>1.5649999999999999</v>
      </c>
      <c r="D111">
        <f t="shared" si="7"/>
        <v>359.9</v>
      </c>
      <c r="E111">
        <v>86.9</v>
      </c>
      <c r="H111">
        <f t="shared" si="11"/>
        <v>101</v>
      </c>
      <c r="I111">
        <f t="shared" si="8"/>
        <v>1.5649999999999999</v>
      </c>
      <c r="K111">
        <f t="shared" si="9"/>
        <v>101</v>
      </c>
      <c r="L111" s="2">
        <f t="shared" si="10"/>
        <v>0.89577164798423303</v>
      </c>
    </row>
    <row r="112" spans="1:12" x14ac:dyDescent="0.25">
      <c r="A112" s="4" t="s">
        <v>113</v>
      </c>
      <c r="B112" s="4">
        <v>310</v>
      </c>
      <c r="C112">
        <f t="shared" si="6"/>
        <v>1.55</v>
      </c>
      <c r="D112">
        <f t="shared" si="7"/>
        <v>359</v>
      </c>
      <c r="E112">
        <v>86</v>
      </c>
      <c r="H112">
        <f t="shared" si="11"/>
        <v>102</v>
      </c>
      <c r="I112">
        <f t="shared" si="8"/>
        <v>1.55</v>
      </c>
      <c r="K112">
        <f t="shared" si="9"/>
        <v>102</v>
      </c>
      <c r="L112" s="2">
        <f t="shared" si="10"/>
        <v>0.87650986186231061</v>
      </c>
    </row>
    <row r="113" spans="1:12" x14ac:dyDescent="0.25">
      <c r="A113" s="4" t="s">
        <v>114</v>
      </c>
      <c r="B113" s="4">
        <v>309</v>
      </c>
      <c r="C113">
        <f t="shared" si="6"/>
        <v>1.5449999999999999</v>
      </c>
      <c r="D113">
        <f t="shared" si="7"/>
        <v>359</v>
      </c>
      <c r="E113">
        <v>86</v>
      </c>
      <c r="H113">
        <f t="shared" si="11"/>
        <v>103</v>
      </c>
      <c r="I113">
        <f t="shared" si="8"/>
        <v>1.5449999999999999</v>
      </c>
      <c r="K113">
        <f t="shared" si="9"/>
        <v>103</v>
      </c>
      <c r="L113" s="2">
        <f t="shared" si="10"/>
        <v>0.87004782069941755</v>
      </c>
    </row>
    <row r="114" spans="1:12" x14ac:dyDescent="0.25">
      <c r="A114" s="4" t="s">
        <v>115</v>
      </c>
      <c r="B114" s="4">
        <v>307</v>
      </c>
      <c r="C114">
        <f t="shared" si="6"/>
        <v>1.5349999999999999</v>
      </c>
      <c r="D114">
        <f t="shared" si="7"/>
        <v>359</v>
      </c>
      <c r="E114">
        <v>86</v>
      </c>
      <c r="H114">
        <f t="shared" si="11"/>
        <v>104</v>
      </c>
      <c r="I114">
        <f t="shared" si="8"/>
        <v>1.5349999999999999</v>
      </c>
      <c r="K114">
        <f t="shared" si="9"/>
        <v>104</v>
      </c>
      <c r="L114" s="2">
        <f t="shared" si="10"/>
        <v>0.85706076207832083</v>
      </c>
    </row>
    <row r="115" spans="1:12" x14ac:dyDescent="0.25">
      <c r="A115" s="4" t="s">
        <v>116</v>
      </c>
      <c r="B115" s="4">
        <v>306</v>
      </c>
      <c r="C115">
        <f t="shared" si="6"/>
        <v>1.53</v>
      </c>
      <c r="D115">
        <f t="shared" si="7"/>
        <v>358.5</v>
      </c>
      <c r="E115">
        <v>85.5</v>
      </c>
      <c r="H115">
        <f t="shared" si="11"/>
        <v>105</v>
      </c>
      <c r="I115">
        <f t="shared" si="8"/>
        <v>1.53</v>
      </c>
      <c r="K115">
        <f t="shared" si="9"/>
        <v>105</v>
      </c>
      <c r="L115" s="2">
        <f t="shared" si="10"/>
        <v>0.85053547080868819</v>
      </c>
    </row>
    <row r="116" spans="1:12" x14ac:dyDescent="0.25">
      <c r="A116" s="4" t="s">
        <v>117</v>
      </c>
      <c r="B116" s="4">
        <v>302</v>
      </c>
      <c r="C116">
        <f t="shared" si="6"/>
        <v>1.51</v>
      </c>
      <c r="D116">
        <f t="shared" si="7"/>
        <v>358.5</v>
      </c>
      <c r="E116">
        <v>85.5</v>
      </c>
      <c r="H116">
        <f t="shared" si="11"/>
        <v>106</v>
      </c>
      <c r="I116">
        <f t="shared" si="8"/>
        <v>1.51</v>
      </c>
      <c r="K116">
        <f t="shared" si="9"/>
        <v>106</v>
      </c>
      <c r="L116" s="2">
        <f t="shared" si="10"/>
        <v>0.82421930165366597</v>
      </c>
    </row>
    <row r="117" spans="1:12" x14ac:dyDescent="0.25">
      <c r="A117" s="4" t="s">
        <v>118</v>
      </c>
      <c r="B117" s="4">
        <v>300</v>
      </c>
      <c r="C117">
        <f t="shared" si="6"/>
        <v>1.5</v>
      </c>
      <c r="D117">
        <f t="shared" si="7"/>
        <v>358.5</v>
      </c>
      <c r="E117">
        <v>85.5</v>
      </c>
      <c r="H117">
        <f t="shared" si="11"/>
        <v>107</v>
      </c>
      <c r="I117">
        <f t="shared" si="8"/>
        <v>1.5</v>
      </c>
      <c r="K117">
        <f t="shared" si="9"/>
        <v>107</v>
      </c>
      <c r="L117" s="2">
        <f t="shared" si="10"/>
        <v>0.81093021621632877</v>
      </c>
    </row>
    <row r="118" spans="1:12" x14ac:dyDescent="0.25">
      <c r="A118" s="4" t="s">
        <v>119</v>
      </c>
      <c r="B118" s="4">
        <v>298</v>
      </c>
      <c r="C118">
        <f t="shared" si="6"/>
        <v>1.49</v>
      </c>
      <c r="D118">
        <f t="shared" si="7"/>
        <v>357.9</v>
      </c>
      <c r="E118">
        <v>84.9</v>
      </c>
      <c r="H118">
        <f t="shared" si="11"/>
        <v>108</v>
      </c>
      <c r="I118">
        <f t="shared" si="8"/>
        <v>1.49</v>
      </c>
      <c r="K118">
        <f t="shared" si="9"/>
        <v>108</v>
      </c>
      <c r="L118" s="2">
        <f t="shared" si="10"/>
        <v>0.79755223991473556</v>
      </c>
    </row>
    <row r="119" spans="1:12" x14ac:dyDescent="0.25">
      <c r="A119" s="4" t="s">
        <v>120</v>
      </c>
      <c r="B119" s="4">
        <v>295</v>
      </c>
      <c r="C119">
        <f t="shared" si="6"/>
        <v>1.4750000000000001</v>
      </c>
      <c r="D119">
        <f t="shared" si="7"/>
        <v>357.9</v>
      </c>
      <c r="E119">
        <v>84.9</v>
      </c>
      <c r="H119">
        <f t="shared" si="11"/>
        <v>109</v>
      </c>
      <c r="I119">
        <f t="shared" si="8"/>
        <v>1.4750000000000001</v>
      </c>
      <c r="K119">
        <f t="shared" si="9"/>
        <v>109</v>
      </c>
      <c r="L119" s="2">
        <f t="shared" si="10"/>
        <v>0.77731597958356635</v>
      </c>
    </row>
    <row r="120" spans="1:12" x14ac:dyDescent="0.25">
      <c r="A120" s="4" t="s">
        <v>121</v>
      </c>
      <c r="B120" s="4">
        <v>294</v>
      </c>
      <c r="C120">
        <f t="shared" si="6"/>
        <v>1.47</v>
      </c>
      <c r="D120">
        <f t="shared" si="7"/>
        <v>357.9</v>
      </c>
      <c r="E120">
        <v>84.9</v>
      </c>
      <c r="H120">
        <f t="shared" si="11"/>
        <v>110</v>
      </c>
      <c r="I120">
        <f t="shared" si="8"/>
        <v>1.47</v>
      </c>
      <c r="K120">
        <f t="shared" si="9"/>
        <v>110</v>
      </c>
      <c r="L120" s="2">
        <f t="shared" si="10"/>
        <v>0.77052480158128978</v>
      </c>
    </row>
    <row r="121" spans="1:12" x14ac:dyDescent="0.25">
      <c r="A121" s="4" t="s">
        <v>122</v>
      </c>
      <c r="B121" s="4">
        <v>290</v>
      </c>
      <c r="C121">
        <f t="shared" si="6"/>
        <v>1.45</v>
      </c>
      <c r="D121">
        <f t="shared" si="7"/>
        <v>357.9</v>
      </c>
      <c r="E121">
        <v>84.9</v>
      </c>
      <c r="H121">
        <f t="shared" si="11"/>
        <v>111</v>
      </c>
      <c r="I121">
        <f t="shared" si="8"/>
        <v>1.45</v>
      </c>
      <c r="K121">
        <f t="shared" si="9"/>
        <v>111</v>
      </c>
      <c r="L121" s="2">
        <f t="shared" si="10"/>
        <v>0.74312711286496613</v>
      </c>
    </row>
    <row r="122" spans="1:12" x14ac:dyDescent="0.25">
      <c r="A122" s="4" t="s">
        <v>123</v>
      </c>
      <c r="B122" s="4">
        <v>288</v>
      </c>
      <c r="C122">
        <f t="shared" si="6"/>
        <v>1.44</v>
      </c>
      <c r="D122">
        <f t="shared" si="7"/>
        <v>357</v>
      </c>
      <c r="E122">
        <v>84</v>
      </c>
      <c r="H122">
        <f t="shared" si="11"/>
        <v>112</v>
      </c>
      <c r="I122">
        <f t="shared" si="8"/>
        <v>1.44</v>
      </c>
      <c r="K122">
        <f t="shared" si="9"/>
        <v>112</v>
      </c>
      <c r="L122" s="2">
        <f t="shared" si="10"/>
        <v>0.72928622717581848</v>
      </c>
    </row>
    <row r="123" spans="1:12" x14ac:dyDescent="0.25">
      <c r="A123" s="4" t="s">
        <v>124</v>
      </c>
      <c r="B123" s="4">
        <v>287</v>
      </c>
      <c r="C123">
        <f t="shared" si="6"/>
        <v>1.4350000000000001</v>
      </c>
      <c r="D123">
        <f t="shared" si="7"/>
        <v>357</v>
      </c>
      <c r="E123">
        <v>84</v>
      </c>
      <c r="H123">
        <f t="shared" si="11"/>
        <v>113</v>
      </c>
      <c r="I123">
        <f t="shared" si="8"/>
        <v>1.4350000000000001</v>
      </c>
      <c r="K123">
        <f t="shared" si="9"/>
        <v>113</v>
      </c>
      <c r="L123" s="2">
        <f t="shared" si="10"/>
        <v>0.72232969842316885</v>
      </c>
    </row>
    <row r="124" spans="1:12" x14ac:dyDescent="0.25">
      <c r="A124" s="4" t="s">
        <v>125</v>
      </c>
      <c r="B124" s="4">
        <v>285</v>
      </c>
      <c r="C124">
        <f t="shared" si="6"/>
        <v>1.425</v>
      </c>
      <c r="D124">
        <f t="shared" si="7"/>
        <v>357</v>
      </c>
      <c r="E124">
        <v>84</v>
      </c>
      <c r="H124">
        <f t="shared" si="11"/>
        <v>114</v>
      </c>
      <c r="I124">
        <f t="shared" si="8"/>
        <v>1.425</v>
      </c>
      <c r="K124">
        <f t="shared" si="9"/>
        <v>114</v>
      </c>
      <c r="L124" s="2">
        <f t="shared" si="10"/>
        <v>0.70834362744122781</v>
      </c>
    </row>
    <row r="125" spans="1:12" x14ac:dyDescent="0.25">
      <c r="A125" s="4" t="s">
        <v>126</v>
      </c>
      <c r="B125" s="4">
        <v>282</v>
      </c>
      <c r="C125">
        <f t="shared" si="6"/>
        <v>1.41</v>
      </c>
      <c r="D125">
        <f t="shared" si="7"/>
        <v>356.5</v>
      </c>
      <c r="E125">
        <v>83.5</v>
      </c>
      <c r="H125">
        <f t="shared" si="11"/>
        <v>115</v>
      </c>
      <c r="I125">
        <f t="shared" si="8"/>
        <v>1.41</v>
      </c>
      <c r="K125">
        <f t="shared" si="9"/>
        <v>115</v>
      </c>
      <c r="L125" s="2">
        <f t="shared" si="10"/>
        <v>0.68717940878015371</v>
      </c>
    </row>
    <row r="126" spans="1:12" x14ac:dyDescent="0.25">
      <c r="A126" s="4" t="s">
        <v>127</v>
      </c>
      <c r="B126" s="4">
        <v>278</v>
      </c>
      <c r="C126">
        <f t="shared" si="6"/>
        <v>1.39</v>
      </c>
      <c r="D126">
        <f t="shared" si="7"/>
        <v>356.5</v>
      </c>
      <c r="E126">
        <v>83.5</v>
      </c>
      <c r="H126">
        <f t="shared" si="11"/>
        <v>116</v>
      </c>
      <c r="I126">
        <f t="shared" si="8"/>
        <v>1.39</v>
      </c>
      <c r="K126">
        <f t="shared" si="9"/>
        <v>116</v>
      </c>
      <c r="L126" s="2">
        <f t="shared" si="10"/>
        <v>0.6586074942852006</v>
      </c>
    </row>
    <row r="127" spans="1:12" x14ac:dyDescent="0.25">
      <c r="A127" s="4" t="s">
        <v>128</v>
      </c>
      <c r="B127" s="4">
        <v>277</v>
      </c>
      <c r="C127">
        <f t="shared" si="6"/>
        <v>1.385</v>
      </c>
      <c r="D127">
        <f t="shared" si="7"/>
        <v>356.5</v>
      </c>
      <c r="E127">
        <v>83.5</v>
      </c>
      <c r="H127">
        <f t="shared" si="11"/>
        <v>117</v>
      </c>
      <c r="I127">
        <f t="shared" si="8"/>
        <v>1.385</v>
      </c>
      <c r="K127">
        <f t="shared" si="9"/>
        <v>117</v>
      </c>
      <c r="L127" s="2">
        <f t="shared" si="10"/>
        <v>0.65140027927860367</v>
      </c>
    </row>
    <row r="128" spans="1:12" x14ac:dyDescent="0.25">
      <c r="A128" s="4" t="s">
        <v>129</v>
      </c>
      <c r="B128" s="4">
        <v>277</v>
      </c>
      <c r="C128">
        <f t="shared" si="6"/>
        <v>1.385</v>
      </c>
      <c r="D128">
        <f t="shared" si="7"/>
        <v>356</v>
      </c>
      <c r="E128">
        <v>83</v>
      </c>
      <c r="H128">
        <f t="shared" si="11"/>
        <v>118</v>
      </c>
      <c r="I128">
        <f t="shared" si="8"/>
        <v>1.385</v>
      </c>
      <c r="K128">
        <f t="shared" si="9"/>
        <v>118</v>
      </c>
      <c r="L128" s="2">
        <f t="shared" si="10"/>
        <v>0.65140027927860367</v>
      </c>
    </row>
    <row r="129" spans="1:12" x14ac:dyDescent="0.25">
      <c r="A129" s="4" t="s">
        <v>130</v>
      </c>
      <c r="B129" s="4">
        <v>276</v>
      </c>
      <c r="C129">
        <f t="shared" si="6"/>
        <v>1.38</v>
      </c>
      <c r="D129">
        <f t="shared" si="7"/>
        <v>356</v>
      </c>
      <c r="E129">
        <v>83</v>
      </c>
      <c r="H129">
        <f t="shared" si="11"/>
        <v>119</v>
      </c>
      <c r="I129">
        <f t="shared" si="8"/>
        <v>1.38</v>
      </c>
      <c r="K129">
        <f t="shared" si="9"/>
        <v>119</v>
      </c>
      <c r="L129" s="2">
        <f t="shared" si="10"/>
        <v>0.64416699833822644</v>
      </c>
    </row>
    <row r="130" spans="1:12" x14ac:dyDescent="0.25">
      <c r="A130" s="4" t="s">
        <v>131</v>
      </c>
      <c r="B130" s="4">
        <v>274</v>
      </c>
      <c r="C130">
        <f t="shared" si="6"/>
        <v>1.37</v>
      </c>
      <c r="D130">
        <f t="shared" si="7"/>
        <v>356</v>
      </c>
      <c r="E130">
        <v>83</v>
      </c>
      <c r="H130">
        <f t="shared" si="11"/>
        <v>120</v>
      </c>
      <c r="I130">
        <f t="shared" si="8"/>
        <v>1.37</v>
      </c>
      <c r="K130">
        <f t="shared" si="9"/>
        <v>120</v>
      </c>
      <c r="L130" s="2">
        <f t="shared" si="10"/>
        <v>0.62962147968006721</v>
      </c>
    </row>
    <row r="131" spans="1:12" x14ac:dyDescent="0.25">
      <c r="A131" s="4" t="s">
        <v>132</v>
      </c>
      <c r="B131" s="4">
        <v>273</v>
      </c>
      <c r="C131">
        <f t="shared" si="6"/>
        <v>1.365</v>
      </c>
      <c r="D131">
        <f t="shared" si="7"/>
        <v>355.3</v>
      </c>
      <c r="E131">
        <v>82.3</v>
      </c>
      <c r="H131">
        <f t="shared" si="11"/>
        <v>121</v>
      </c>
      <c r="I131">
        <f t="shared" si="8"/>
        <v>1.365</v>
      </c>
      <c r="K131">
        <f t="shared" si="9"/>
        <v>121</v>
      </c>
      <c r="L131" s="2">
        <f t="shared" si="10"/>
        <v>0.62230885727384611</v>
      </c>
    </row>
    <row r="132" spans="1:12" x14ac:dyDescent="0.25">
      <c r="A132" s="4" t="s">
        <v>133</v>
      </c>
      <c r="B132" s="4">
        <v>271</v>
      </c>
      <c r="C132">
        <f t="shared" si="6"/>
        <v>1.355</v>
      </c>
      <c r="D132">
        <f t="shared" si="7"/>
        <v>355.3</v>
      </c>
      <c r="E132">
        <v>82.3</v>
      </c>
      <c r="H132">
        <f t="shared" si="11"/>
        <v>122</v>
      </c>
      <c r="I132">
        <f t="shared" si="8"/>
        <v>1.355</v>
      </c>
      <c r="K132">
        <f t="shared" si="9"/>
        <v>122</v>
      </c>
      <c r="L132" s="2">
        <f t="shared" si="10"/>
        <v>0.60760290866332844</v>
      </c>
    </row>
    <row r="133" spans="1:12" x14ac:dyDescent="0.25">
      <c r="A133" s="4" t="s">
        <v>134</v>
      </c>
      <c r="B133" s="4">
        <v>269</v>
      </c>
      <c r="C133">
        <f t="shared" si="6"/>
        <v>1.345</v>
      </c>
      <c r="D133">
        <f t="shared" si="7"/>
        <v>355.3</v>
      </c>
      <c r="E133">
        <v>82.3</v>
      </c>
      <c r="H133">
        <f t="shared" si="11"/>
        <v>123</v>
      </c>
      <c r="I133">
        <f t="shared" si="8"/>
        <v>1.345</v>
      </c>
      <c r="K133">
        <f t="shared" si="9"/>
        <v>123</v>
      </c>
      <c r="L133" s="2">
        <f t="shared" si="10"/>
        <v>0.59278802610760484</v>
      </c>
    </row>
    <row r="134" spans="1:12" x14ac:dyDescent="0.25">
      <c r="A134" s="4" t="s">
        <v>135</v>
      </c>
      <c r="B134" s="4">
        <v>269</v>
      </c>
      <c r="C134">
        <f t="shared" si="6"/>
        <v>1.345</v>
      </c>
      <c r="D134">
        <f t="shared" si="7"/>
        <v>354.5</v>
      </c>
      <c r="E134">
        <v>81.5</v>
      </c>
      <c r="H134">
        <f t="shared" si="11"/>
        <v>124</v>
      </c>
      <c r="I134">
        <f t="shared" si="8"/>
        <v>1.345</v>
      </c>
      <c r="K134">
        <f t="shared" si="9"/>
        <v>124</v>
      </c>
      <c r="L134" s="2">
        <f t="shared" si="10"/>
        <v>0.59278802610760484</v>
      </c>
    </row>
    <row r="135" spans="1:12" x14ac:dyDescent="0.25">
      <c r="A135" s="4" t="s">
        <v>136</v>
      </c>
      <c r="B135" s="4">
        <v>266</v>
      </c>
      <c r="C135">
        <f t="shared" si="6"/>
        <v>1.33</v>
      </c>
      <c r="D135">
        <f t="shared" si="7"/>
        <v>354.5</v>
      </c>
      <c r="E135">
        <v>81.5</v>
      </c>
      <c r="H135">
        <f t="shared" si="11"/>
        <v>125</v>
      </c>
      <c r="I135">
        <f t="shared" si="8"/>
        <v>1.33</v>
      </c>
      <c r="K135">
        <f t="shared" si="9"/>
        <v>125</v>
      </c>
      <c r="L135" s="2">
        <f t="shared" si="10"/>
        <v>0.57035788446732483</v>
      </c>
    </row>
    <row r="136" spans="1:12" x14ac:dyDescent="0.25">
      <c r="A136" s="4" t="s">
        <v>137</v>
      </c>
      <c r="B136" s="4">
        <v>265</v>
      </c>
      <c r="C136">
        <f t="shared" si="6"/>
        <v>1.325</v>
      </c>
      <c r="D136">
        <f t="shared" si="7"/>
        <v>354.5</v>
      </c>
      <c r="E136">
        <v>81.5</v>
      </c>
      <c r="H136">
        <f t="shared" si="11"/>
        <v>126</v>
      </c>
      <c r="I136">
        <f t="shared" si="8"/>
        <v>1.325</v>
      </c>
      <c r="K136">
        <f t="shared" si="9"/>
        <v>126</v>
      </c>
      <c r="L136" s="2">
        <f t="shared" si="10"/>
        <v>0.56282491887637109</v>
      </c>
    </row>
    <row r="137" spans="1:12" x14ac:dyDescent="0.25">
      <c r="A137" s="4" t="s">
        <v>138</v>
      </c>
      <c r="B137" s="4">
        <v>261</v>
      </c>
      <c r="C137">
        <f t="shared" si="6"/>
        <v>1.3049999999999999</v>
      </c>
      <c r="D137">
        <f t="shared" si="7"/>
        <v>354.5</v>
      </c>
      <c r="E137">
        <v>81.5</v>
      </c>
      <c r="H137">
        <f t="shared" si="11"/>
        <v>127</v>
      </c>
      <c r="I137">
        <f t="shared" si="8"/>
        <v>1.3049999999999999</v>
      </c>
      <c r="K137">
        <f t="shared" si="9"/>
        <v>127</v>
      </c>
      <c r="L137" s="2">
        <f t="shared" si="10"/>
        <v>0.53240608154931335</v>
      </c>
    </row>
    <row r="138" spans="1:12" x14ac:dyDescent="0.25">
      <c r="A138" s="4" t="s">
        <v>139</v>
      </c>
      <c r="B138" s="4">
        <v>260</v>
      </c>
      <c r="C138">
        <f t="shared" si="6"/>
        <v>1.3</v>
      </c>
      <c r="D138">
        <f t="shared" si="7"/>
        <v>353.8</v>
      </c>
      <c r="E138">
        <v>80.8</v>
      </c>
      <c r="H138">
        <f t="shared" si="11"/>
        <v>128</v>
      </c>
      <c r="I138">
        <f t="shared" si="8"/>
        <v>1.3</v>
      </c>
      <c r="K138">
        <f t="shared" si="9"/>
        <v>128</v>
      </c>
      <c r="L138" s="2">
        <f t="shared" si="10"/>
        <v>0.52472852893498223</v>
      </c>
    </row>
    <row r="139" spans="1:12" x14ac:dyDescent="0.25">
      <c r="A139" s="4" t="s">
        <v>140</v>
      </c>
      <c r="B139" s="4">
        <v>264</v>
      </c>
      <c r="C139">
        <f t="shared" ref="C139:C202" si="12">B139/200</f>
        <v>1.32</v>
      </c>
      <c r="D139">
        <f t="shared" ref="D139:D202" si="13">273+E139</f>
        <v>353.8</v>
      </c>
      <c r="E139">
        <v>80.8</v>
      </c>
      <c r="H139">
        <f t="shared" si="11"/>
        <v>129</v>
      </c>
      <c r="I139">
        <f t="shared" ref="I139:I202" si="14">C139</f>
        <v>1.32</v>
      </c>
      <c r="K139">
        <f t="shared" ref="K139:K202" si="15">H139</f>
        <v>129</v>
      </c>
      <c r="L139" s="2">
        <f t="shared" ref="L139:L202" si="16">LN(I139*I139)</f>
        <v>0.55526347319655911</v>
      </c>
    </row>
    <row r="140" spans="1:12" x14ac:dyDescent="0.25">
      <c r="A140" s="4" t="s">
        <v>141</v>
      </c>
      <c r="B140" s="4">
        <v>261</v>
      </c>
      <c r="C140">
        <f t="shared" si="12"/>
        <v>1.3049999999999999</v>
      </c>
      <c r="D140">
        <f t="shared" si="13"/>
        <v>353.8</v>
      </c>
      <c r="E140">
        <v>80.8</v>
      </c>
      <c r="H140">
        <f t="shared" ref="H140:H203" si="17">H139+1</f>
        <v>130</v>
      </c>
      <c r="I140">
        <f t="shared" si="14"/>
        <v>1.3049999999999999</v>
      </c>
      <c r="K140">
        <f t="shared" si="15"/>
        <v>130</v>
      </c>
      <c r="L140" s="2">
        <f t="shared" si="16"/>
        <v>0.53240608154931335</v>
      </c>
    </row>
    <row r="141" spans="1:12" x14ac:dyDescent="0.25">
      <c r="A141" s="4" t="s">
        <v>142</v>
      </c>
      <c r="B141" s="4">
        <v>258</v>
      </c>
      <c r="C141">
        <f t="shared" si="12"/>
        <v>1.29</v>
      </c>
      <c r="D141">
        <f t="shared" si="13"/>
        <v>353.4</v>
      </c>
      <c r="E141">
        <v>80.400000000000006</v>
      </c>
      <c r="H141">
        <f t="shared" si="17"/>
        <v>131</v>
      </c>
      <c r="I141">
        <f t="shared" si="14"/>
        <v>1.29</v>
      </c>
      <c r="K141">
        <f t="shared" si="15"/>
        <v>131</v>
      </c>
      <c r="L141" s="2">
        <f t="shared" si="16"/>
        <v>0.50928443674716162</v>
      </c>
    </row>
    <row r="142" spans="1:12" x14ac:dyDescent="0.25">
      <c r="A142" s="4" t="s">
        <v>143</v>
      </c>
      <c r="B142" s="4">
        <v>257</v>
      </c>
      <c r="C142">
        <f t="shared" si="12"/>
        <v>1.2849999999999999</v>
      </c>
      <c r="D142">
        <f t="shared" si="13"/>
        <v>353.4</v>
      </c>
      <c r="E142">
        <v>80.400000000000006</v>
      </c>
      <c r="H142">
        <f t="shared" si="17"/>
        <v>132</v>
      </c>
      <c r="I142">
        <f t="shared" si="14"/>
        <v>1.2849999999999999</v>
      </c>
      <c r="K142">
        <f t="shared" si="15"/>
        <v>132</v>
      </c>
      <c r="L142" s="2">
        <f t="shared" si="16"/>
        <v>0.5015174366943661</v>
      </c>
    </row>
    <row r="143" spans="1:12" x14ac:dyDescent="0.25">
      <c r="A143" s="4" t="s">
        <v>144</v>
      </c>
      <c r="B143" s="4">
        <v>256</v>
      </c>
      <c r="C143">
        <f t="shared" si="12"/>
        <v>1.28</v>
      </c>
      <c r="D143">
        <f t="shared" si="13"/>
        <v>353.4</v>
      </c>
      <c r="E143">
        <v>80.400000000000006</v>
      </c>
      <c r="H143">
        <f t="shared" si="17"/>
        <v>133</v>
      </c>
      <c r="I143">
        <f t="shared" si="14"/>
        <v>1.28</v>
      </c>
      <c r="K143">
        <f t="shared" si="15"/>
        <v>133</v>
      </c>
      <c r="L143" s="2">
        <f t="shared" si="16"/>
        <v>0.49372015586305162</v>
      </c>
    </row>
    <row r="144" spans="1:12" x14ac:dyDescent="0.25">
      <c r="A144" s="4" t="s">
        <v>145</v>
      </c>
      <c r="B144" s="4">
        <v>254</v>
      </c>
      <c r="C144">
        <f t="shared" si="12"/>
        <v>1.27</v>
      </c>
      <c r="D144">
        <f t="shared" si="13"/>
        <v>352.8</v>
      </c>
      <c r="E144">
        <v>79.8</v>
      </c>
      <c r="H144">
        <f t="shared" si="17"/>
        <v>134</v>
      </c>
      <c r="I144">
        <f t="shared" si="14"/>
        <v>1.27</v>
      </c>
      <c r="K144">
        <f t="shared" si="15"/>
        <v>134</v>
      </c>
      <c r="L144" s="2">
        <f t="shared" si="16"/>
        <v>0.47803380094099979</v>
      </c>
    </row>
    <row r="145" spans="1:12" x14ac:dyDescent="0.25">
      <c r="A145" s="4" t="s">
        <v>146</v>
      </c>
      <c r="B145" s="4">
        <v>254</v>
      </c>
      <c r="C145">
        <f t="shared" si="12"/>
        <v>1.27</v>
      </c>
      <c r="D145">
        <f t="shared" si="13"/>
        <v>352.8</v>
      </c>
      <c r="E145">
        <v>79.8</v>
      </c>
      <c r="H145">
        <f t="shared" si="17"/>
        <v>135</v>
      </c>
      <c r="I145">
        <f t="shared" si="14"/>
        <v>1.27</v>
      </c>
      <c r="K145">
        <f t="shared" si="15"/>
        <v>135</v>
      </c>
      <c r="L145" s="2">
        <f t="shared" si="16"/>
        <v>0.47803380094099979</v>
      </c>
    </row>
    <row r="146" spans="1:12" x14ac:dyDescent="0.25">
      <c r="A146" s="4" t="s">
        <v>147</v>
      </c>
      <c r="B146" s="4">
        <v>251</v>
      </c>
      <c r="C146">
        <f t="shared" si="12"/>
        <v>1.2549999999999999</v>
      </c>
      <c r="D146">
        <f t="shared" si="13"/>
        <v>352.8</v>
      </c>
      <c r="E146">
        <v>79.8</v>
      </c>
      <c r="H146">
        <f t="shared" si="17"/>
        <v>136</v>
      </c>
      <c r="I146">
        <f t="shared" si="14"/>
        <v>1.2549999999999999</v>
      </c>
      <c r="K146">
        <f t="shared" si="15"/>
        <v>136</v>
      </c>
      <c r="L146" s="2">
        <f t="shared" si="16"/>
        <v>0.45427114516749423</v>
      </c>
    </row>
    <row r="147" spans="1:12" x14ac:dyDescent="0.25">
      <c r="A147" s="4" t="s">
        <v>148</v>
      </c>
      <c r="B147" s="4">
        <v>252</v>
      </c>
      <c r="C147">
        <f t="shared" si="12"/>
        <v>1.26</v>
      </c>
      <c r="D147">
        <f t="shared" si="13"/>
        <v>352.4</v>
      </c>
      <c r="E147">
        <v>79.400000000000006</v>
      </c>
      <c r="H147">
        <f t="shared" si="17"/>
        <v>137</v>
      </c>
      <c r="I147">
        <f t="shared" si="14"/>
        <v>1.26</v>
      </c>
      <c r="K147">
        <f t="shared" si="15"/>
        <v>137</v>
      </c>
      <c r="L147" s="2">
        <f t="shared" si="16"/>
        <v>0.46222344192677334</v>
      </c>
    </row>
    <row r="148" spans="1:12" x14ac:dyDescent="0.25">
      <c r="A148" s="4" t="s">
        <v>149</v>
      </c>
      <c r="B148" s="4">
        <v>249</v>
      </c>
      <c r="C148">
        <f t="shared" si="12"/>
        <v>1.2450000000000001</v>
      </c>
      <c r="D148">
        <f t="shared" si="13"/>
        <v>352.4</v>
      </c>
      <c r="E148">
        <v>79.400000000000006</v>
      </c>
      <c r="H148">
        <f t="shared" si="17"/>
        <v>138</v>
      </c>
      <c r="I148">
        <f t="shared" si="14"/>
        <v>1.2450000000000001</v>
      </c>
      <c r="K148">
        <f t="shared" si="15"/>
        <v>138</v>
      </c>
      <c r="L148" s="2">
        <f t="shared" si="16"/>
        <v>0.43827105983334202</v>
      </c>
    </row>
    <row r="149" spans="1:12" x14ac:dyDescent="0.25">
      <c r="A149" s="4" t="s">
        <v>150</v>
      </c>
      <c r="B149" s="4">
        <v>248</v>
      </c>
      <c r="C149">
        <f t="shared" si="12"/>
        <v>1.24</v>
      </c>
      <c r="D149">
        <f t="shared" si="13"/>
        <v>352.4</v>
      </c>
      <c r="E149">
        <v>79.400000000000006</v>
      </c>
      <c r="H149">
        <f t="shared" si="17"/>
        <v>139</v>
      </c>
      <c r="I149">
        <f t="shared" si="14"/>
        <v>1.24</v>
      </c>
      <c r="K149">
        <f t="shared" si="15"/>
        <v>139</v>
      </c>
      <c r="L149" s="2">
        <f t="shared" si="16"/>
        <v>0.43022275923389103</v>
      </c>
    </row>
    <row r="150" spans="1:12" x14ac:dyDescent="0.25">
      <c r="A150" s="4" t="s">
        <v>151</v>
      </c>
      <c r="B150" s="4">
        <v>246</v>
      </c>
      <c r="C150">
        <f t="shared" si="12"/>
        <v>1.23</v>
      </c>
      <c r="D150">
        <f t="shared" si="13"/>
        <v>352.1</v>
      </c>
      <c r="E150">
        <v>79.099999999999994</v>
      </c>
      <c r="H150">
        <f t="shared" si="17"/>
        <v>140</v>
      </c>
      <c r="I150">
        <f t="shared" si="14"/>
        <v>1.23</v>
      </c>
      <c r="K150">
        <f t="shared" si="15"/>
        <v>140</v>
      </c>
      <c r="L150" s="2">
        <f t="shared" si="16"/>
        <v>0.41402833876865219</v>
      </c>
    </row>
    <row r="151" spans="1:12" x14ac:dyDescent="0.25">
      <c r="A151" s="4" t="s">
        <v>152</v>
      </c>
      <c r="B151" s="4">
        <v>246</v>
      </c>
      <c r="C151">
        <f t="shared" si="12"/>
        <v>1.23</v>
      </c>
      <c r="D151">
        <f t="shared" si="13"/>
        <v>352.1</v>
      </c>
      <c r="E151">
        <v>79.099999999999994</v>
      </c>
      <c r="H151">
        <f t="shared" si="17"/>
        <v>141</v>
      </c>
      <c r="I151">
        <f t="shared" si="14"/>
        <v>1.23</v>
      </c>
      <c r="K151">
        <f t="shared" si="15"/>
        <v>141</v>
      </c>
      <c r="L151" s="2">
        <f t="shared" si="16"/>
        <v>0.41402833876865219</v>
      </c>
    </row>
    <row r="152" spans="1:12" x14ac:dyDescent="0.25">
      <c r="A152" s="4" t="s">
        <v>153</v>
      </c>
      <c r="B152" s="4">
        <v>244</v>
      </c>
      <c r="C152">
        <f t="shared" si="12"/>
        <v>1.22</v>
      </c>
      <c r="D152">
        <f t="shared" si="13"/>
        <v>352.1</v>
      </c>
      <c r="E152">
        <v>79.099999999999994</v>
      </c>
      <c r="H152">
        <f t="shared" si="17"/>
        <v>142</v>
      </c>
      <c r="I152">
        <f t="shared" si="14"/>
        <v>1.22</v>
      </c>
      <c r="K152">
        <f t="shared" si="15"/>
        <v>142</v>
      </c>
      <c r="L152" s="2">
        <f t="shared" si="16"/>
        <v>0.39770171749033034</v>
      </c>
    </row>
    <row r="153" spans="1:12" x14ac:dyDescent="0.25">
      <c r="A153" s="4" t="s">
        <v>154</v>
      </c>
      <c r="B153" s="4">
        <v>244</v>
      </c>
      <c r="C153">
        <f t="shared" si="12"/>
        <v>1.22</v>
      </c>
      <c r="D153">
        <f t="shared" si="13"/>
        <v>352.1</v>
      </c>
      <c r="E153">
        <v>79.099999999999994</v>
      </c>
      <c r="H153">
        <f t="shared" si="17"/>
        <v>143</v>
      </c>
      <c r="I153">
        <f t="shared" si="14"/>
        <v>1.22</v>
      </c>
      <c r="K153">
        <f t="shared" si="15"/>
        <v>143</v>
      </c>
      <c r="L153" s="2">
        <f t="shared" si="16"/>
        <v>0.39770171749033034</v>
      </c>
    </row>
    <row r="154" spans="1:12" x14ac:dyDescent="0.25">
      <c r="A154" s="4" t="s">
        <v>155</v>
      </c>
      <c r="B154" s="4">
        <v>244</v>
      </c>
      <c r="C154">
        <f t="shared" si="12"/>
        <v>1.22</v>
      </c>
      <c r="D154">
        <f t="shared" si="13"/>
        <v>351.6</v>
      </c>
      <c r="E154">
        <v>78.599999999999994</v>
      </c>
      <c r="H154">
        <f t="shared" si="17"/>
        <v>144</v>
      </c>
      <c r="I154">
        <f t="shared" si="14"/>
        <v>1.22</v>
      </c>
      <c r="K154">
        <f t="shared" si="15"/>
        <v>144</v>
      </c>
      <c r="L154" s="2">
        <f t="shared" si="16"/>
        <v>0.39770171749033034</v>
      </c>
    </row>
    <row r="155" spans="1:12" x14ac:dyDescent="0.25">
      <c r="A155" s="4" t="s">
        <v>156</v>
      </c>
      <c r="B155" s="4">
        <v>243</v>
      </c>
      <c r="C155">
        <f t="shared" si="12"/>
        <v>1.2150000000000001</v>
      </c>
      <c r="D155">
        <f t="shared" si="13"/>
        <v>351.6</v>
      </c>
      <c r="E155">
        <v>78.599999999999994</v>
      </c>
      <c r="H155">
        <f t="shared" si="17"/>
        <v>145</v>
      </c>
      <c r="I155">
        <f t="shared" si="14"/>
        <v>1.2150000000000001</v>
      </c>
      <c r="K155">
        <f t="shared" si="15"/>
        <v>145</v>
      </c>
      <c r="L155" s="2">
        <f t="shared" si="16"/>
        <v>0.38948815358502364</v>
      </c>
    </row>
    <row r="156" spans="1:12" x14ac:dyDescent="0.25">
      <c r="A156" s="4" t="s">
        <v>157</v>
      </c>
      <c r="B156" s="4">
        <v>240</v>
      </c>
      <c r="C156">
        <f t="shared" si="12"/>
        <v>1.2</v>
      </c>
      <c r="D156">
        <f t="shared" si="13"/>
        <v>351.6</v>
      </c>
      <c r="E156">
        <v>78.599999999999994</v>
      </c>
      <c r="H156">
        <f t="shared" si="17"/>
        <v>146</v>
      </c>
      <c r="I156">
        <f t="shared" si="14"/>
        <v>1.2</v>
      </c>
      <c r="K156">
        <f t="shared" si="15"/>
        <v>146</v>
      </c>
      <c r="L156" s="2">
        <f t="shared" si="16"/>
        <v>0.36464311358790924</v>
      </c>
    </row>
    <row r="157" spans="1:12" x14ac:dyDescent="0.25">
      <c r="A157" s="4" t="s">
        <v>158</v>
      </c>
      <c r="B157" s="4">
        <v>240</v>
      </c>
      <c r="C157">
        <f t="shared" si="12"/>
        <v>1.2</v>
      </c>
      <c r="D157">
        <f t="shared" si="13"/>
        <v>351.1</v>
      </c>
      <c r="E157">
        <v>78.099999999999994</v>
      </c>
      <c r="H157">
        <f t="shared" si="17"/>
        <v>147</v>
      </c>
      <c r="I157">
        <f t="shared" si="14"/>
        <v>1.2</v>
      </c>
      <c r="K157">
        <f t="shared" si="15"/>
        <v>147</v>
      </c>
      <c r="L157" s="2">
        <f t="shared" si="16"/>
        <v>0.36464311358790924</v>
      </c>
    </row>
    <row r="158" spans="1:12" x14ac:dyDescent="0.25">
      <c r="A158" s="4" t="s">
        <v>159</v>
      </c>
      <c r="B158" s="4">
        <v>239</v>
      </c>
      <c r="C158">
        <f t="shared" si="12"/>
        <v>1.1950000000000001</v>
      </c>
      <c r="D158">
        <f t="shared" si="13"/>
        <v>351.1</v>
      </c>
      <c r="E158">
        <v>78.099999999999994</v>
      </c>
      <c r="H158">
        <f t="shared" si="17"/>
        <v>148</v>
      </c>
      <c r="I158">
        <f t="shared" si="14"/>
        <v>1.1950000000000001</v>
      </c>
      <c r="K158">
        <f t="shared" si="15"/>
        <v>148</v>
      </c>
      <c r="L158" s="2">
        <f t="shared" si="16"/>
        <v>0.35629237076694803</v>
      </c>
    </row>
    <row r="159" spans="1:12" x14ac:dyDescent="0.25">
      <c r="A159" s="4" t="s">
        <v>160</v>
      </c>
      <c r="B159" s="4">
        <v>237</v>
      </c>
      <c r="C159">
        <f t="shared" si="12"/>
        <v>1.1850000000000001</v>
      </c>
      <c r="D159">
        <f t="shared" si="13"/>
        <v>351.1</v>
      </c>
      <c r="E159">
        <v>78.099999999999994</v>
      </c>
      <c r="H159">
        <f t="shared" si="17"/>
        <v>149</v>
      </c>
      <c r="I159">
        <f t="shared" si="14"/>
        <v>1.1850000000000001</v>
      </c>
      <c r="K159">
        <f t="shared" si="15"/>
        <v>149</v>
      </c>
      <c r="L159" s="2">
        <f t="shared" si="16"/>
        <v>0.33948554917418905</v>
      </c>
    </row>
    <row r="160" spans="1:12" x14ac:dyDescent="0.25">
      <c r="A160" s="4" t="s">
        <v>161</v>
      </c>
      <c r="B160" s="4">
        <v>237</v>
      </c>
      <c r="C160">
        <f t="shared" si="12"/>
        <v>1.1850000000000001</v>
      </c>
      <c r="D160">
        <f t="shared" si="13"/>
        <v>350.8</v>
      </c>
      <c r="E160">
        <v>77.8</v>
      </c>
      <c r="H160">
        <f t="shared" si="17"/>
        <v>150</v>
      </c>
      <c r="I160">
        <f t="shared" si="14"/>
        <v>1.1850000000000001</v>
      </c>
      <c r="K160">
        <f t="shared" si="15"/>
        <v>150</v>
      </c>
      <c r="L160" s="2">
        <f t="shared" si="16"/>
        <v>0.33948554917418905</v>
      </c>
    </row>
    <row r="161" spans="1:12" x14ac:dyDescent="0.25">
      <c r="A161" s="4" t="s">
        <v>162</v>
      </c>
      <c r="B161" s="4">
        <v>237</v>
      </c>
      <c r="C161">
        <f t="shared" si="12"/>
        <v>1.1850000000000001</v>
      </c>
      <c r="D161">
        <f t="shared" si="13"/>
        <v>350.8</v>
      </c>
      <c r="E161">
        <v>77.8</v>
      </c>
      <c r="H161">
        <f t="shared" si="17"/>
        <v>151</v>
      </c>
      <c r="I161">
        <f t="shared" si="14"/>
        <v>1.1850000000000001</v>
      </c>
      <c r="K161">
        <f t="shared" si="15"/>
        <v>151</v>
      </c>
      <c r="L161" s="2">
        <f t="shared" si="16"/>
        <v>0.33948554917418905</v>
      </c>
    </row>
    <row r="162" spans="1:12" x14ac:dyDescent="0.25">
      <c r="A162" s="4" t="s">
        <v>163</v>
      </c>
      <c r="B162" s="4">
        <v>236</v>
      </c>
      <c r="C162">
        <f t="shared" si="12"/>
        <v>1.18</v>
      </c>
      <c r="D162">
        <f t="shared" si="13"/>
        <v>350.8</v>
      </c>
      <c r="E162">
        <v>77.8</v>
      </c>
      <c r="H162">
        <f t="shared" si="17"/>
        <v>152</v>
      </c>
      <c r="I162">
        <f t="shared" si="14"/>
        <v>1.18</v>
      </c>
      <c r="K162">
        <f t="shared" si="15"/>
        <v>152</v>
      </c>
      <c r="L162" s="2">
        <f t="shared" si="16"/>
        <v>0.33102887695514666</v>
      </c>
    </row>
    <row r="163" spans="1:12" x14ac:dyDescent="0.25">
      <c r="A163" s="4" t="s">
        <v>164</v>
      </c>
      <c r="B163" s="4">
        <v>235</v>
      </c>
      <c r="C163">
        <f t="shared" si="12"/>
        <v>1.175</v>
      </c>
      <c r="D163">
        <f t="shared" si="13"/>
        <v>350.4</v>
      </c>
      <c r="E163">
        <v>77.400000000000006</v>
      </c>
      <c r="H163">
        <f t="shared" si="17"/>
        <v>153</v>
      </c>
      <c r="I163">
        <f t="shared" si="14"/>
        <v>1.175</v>
      </c>
      <c r="K163">
        <f t="shared" si="15"/>
        <v>153</v>
      </c>
      <c r="L163" s="2">
        <f t="shared" si="16"/>
        <v>0.32253629519224475</v>
      </c>
    </row>
    <row r="164" spans="1:12" x14ac:dyDescent="0.25">
      <c r="A164" s="4" t="s">
        <v>165</v>
      </c>
      <c r="B164" s="4">
        <v>233</v>
      </c>
      <c r="C164">
        <f t="shared" si="12"/>
        <v>1.165</v>
      </c>
      <c r="D164">
        <f t="shared" si="13"/>
        <v>350.4</v>
      </c>
      <c r="E164">
        <v>77.400000000000006</v>
      </c>
      <c r="H164">
        <f t="shared" si="17"/>
        <v>154</v>
      </c>
      <c r="I164">
        <f t="shared" si="14"/>
        <v>1.165</v>
      </c>
      <c r="K164">
        <f t="shared" si="15"/>
        <v>154</v>
      </c>
      <c r="L164" s="2">
        <f t="shared" si="16"/>
        <v>0.30544217403532786</v>
      </c>
    </row>
    <row r="165" spans="1:12" x14ac:dyDescent="0.25">
      <c r="A165" s="4" t="s">
        <v>166</v>
      </c>
      <c r="B165" s="4">
        <v>232</v>
      </c>
      <c r="C165">
        <f t="shared" si="12"/>
        <v>1.1599999999999999</v>
      </c>
      <c r="D165">
        <f t="shared" si="13"/>
        <v>350.4</v>
      </c>
      <c r="E165">
        <v>77.400000000000006</v>
      </c>
      <c r="H165">
        <f t="shared" si="17"/>
        <v>155</v>
      </c>
      <c r="I165">
        <f t="shared" si="14"/>
        <v>1.1599999999999999</v>
      </c>
      <c r="K165">
        <f t="shared" si="15"/>
        <v>155</v>
      </c>
      <c r="L165" s="2">
        <f t="shared" si="16"/>
        <v>0.29684001023654649</v>
      </c>
    </row>
    <row r="166" spans="1:12" x14ac:dyDescent="0.25">
      <c r="A166" s="4" t="s">
        <v>167</v>
      </c>
      <c r="B166" s="4">
        <v>230</v>
      </c>
      <c r="C166">
        <f t="shared" si="12"/>
        <v>1.1499999999999999</v>
      </c>
      <c r="D166">
        <f t="shared" si="13"/>
        <v>350</v>
      </c>
      <c r="E166">
        <v>77</v>
      </c>
      <c r="H166">
        <f t="shared" si="17"/>
        <v>156</v>
      </c>
      <c r="I166">
        <f t="shared" si="14"/>
        <v>1.1499999999999999</v>
      </c>
      <c r="K166">
        <f t="shared" si="15"/>
        <v>156</v>
      </c>
      <c r="L166" s="2">
        <f t="shared" si="16"/>
        <v>0.27952388475031725</v>
      </c>
    </row>
    <row r="167" spans="1:12" x14ac:dyDescent="0.25">
      <c r="A167" s="4" t="s">
        <v>168</v>
      </c>
      <c r="B167" s="4">
        <v>230</v>
      </c>
      <c r="C167">
        <f t="shared" si="12"/>
        <v>1.1499999999999999</v>
      </c>
      <c r="D167">
        <f t="shared" si="13"/>
        <v>350</v>
      </c>
      <c r="E167">
        <v>77</v>
      </c>
      <c r="H167">
        <f t="shared" si="17"/>
        <v>157</v>
      </c>
      <c r="I167">
        <f t="shared" si="14"/>
        <v>1.1499999999999999</v>
      </c>
      <c r="K167">
        <f t="shared" si="15"/>
        <v>157</v>
      </c>
      <c r="L167" s="2">
        <f t="shared" si="16"/>
        <v>0.27952388475031725</v>
      </c>
    </row>
    <row r="168" spans="1:12" x14ac:dyDescent="0.25">
      <c r="A168" s="4" t="s">
        <v>169</v>
      </c>
      <c r="B168" s="4">
        <v>229</v>
      </c>
      <c r="C168">
        <f t="shared" si="12"/>
        <v>1.145</v>
      </c>
      <c r="D168">
        <f t="shared" si="13"/>
        <v>350</v>
      </c>
      <c r="E168">
        <v>77</v>
      </c>
      <c r="H168">
        <f t="shared" si="17"/>
        <v>158</v>
      </c>
      <c r="I168">
        <f t="shared" si="14"/>
        <v>1.145</v>
      </c>
      <c r="K168">
        <f t="shared" si="15"/>
        <v>158</v>
      </c>
      <c r="L168" s="2">
        <f t="shared" si="16"/>
        <v>0.27080927401240601</v>
      </c>
    </row>
    <row r="169" spans="1:12" x14ac:dyDescent="0.25">
      <c r="A169" s="4" t="s">
        <v>170</v>
      </c>
      <c r="B169" s="4">
        <v>228</v>
      </c>
      <c r="C169">
        <f t="shared" si="12"/>
        <v>1.1399999999999999</v>
      </c>
      <c r="D169">
        <f t="shared" si="13"/>
        <v>350</v>
      </c>
      <c r="E169">
        <v>77</v>
      </c>
      <c r="H169">
        <f t="shared" si="17"/>
        <v>159</v>
      </c>
      <c r="I169">
        <f t="shared" si="14"/>
        <v>1.1399999999999999</v>
      </c>
      <c r="K169">
        <f t="shared" si="15"/>
        <v>159</v>
      </c>
      <c r="L169" s="2">
        <f t="shared" si="16"/>
        <v>0.26205652481280806</v>
      </c>
    </row>
    <row r="170" spans="1:12" x14ac:dyDescent="0.25">
      <c r="A170" s="4" t="s">
        <v>171</v>
      </c>
      <c r="B170" s="4">
        <v>227</v>
      </c>
      <c r="C170">
        <f t="shared" si="12"/>
        <v>1.135</v>
      </c>
      <c r="D170">
        <f t="shared" si="13"/>
        <v>349.6</v>
      </c>
      <c r="E170">
        <v>76.599999999999994</v>
      </c>
      <c r="H170">
        <f t="shared" si="17"/>
        <v>160</v>
      </c>
      <c r="I170">
        <f t="shared" si="14"/>
        <v>1.135</v>
      </c>
      <c r="K170">
        <f t="shared" si="15"/>
        <v>160</v>
      </c>
      <c r="L170" s="2">
        <f t="shared" si="16"/>
        <v>0.25326530186673196</v>
      </c>
    </row>
    <row r="171" spans="1:12" x14ac:dyDescent="0.25">
      <c r="A171" s="4" t="s">
        <v>172</v>
      </c>
      <c r="B171" s="4">
        <v>226</v>
      </c>
      <c r="C171">
        <f t="shared" si="12"/>
        <v>1.1299999999999999</v>
      </c>
      <c r="D171">
        <f t="shared" si="13"/>
        <v>349.6</v>
      </c>
      <c r="E171">
        <v>76.599999999999994</v>
      </c>
      <c r="H171">
        <f t="shared" si="17"/>
        <v>161</v>
      </c>
      <c r="I171">
        <f t="shared" si="14"/>
        <v>1.1299999999999999</v>
      </c>
      <c r="K171">
        <f t="shared" si="15"/>
        <v>161</v>
      </c>
      <c r="L171" s="2">
        <f t="shared" si="16"/>
        <v>0.24443526544849817</v>
      </c>
    </row>
    <row r="172" spans="1:12" x14ac:dyDescent="0.25">
      <c r="A172" s="4" t="s">
        <v>173</v>
      </c>
      <c r="B172" s="4">
        <v>225</v>
      </c>
      <c r="C172">
        <f t="shared" si="12"/>
        <v>1.125</v>
      </c>
      <c r="D172">
        <f t="shared" si="13"/>
        <v>349.6</v>
      </c>
      <c r="E172">
        <v>76.599999999999994</v>
      </c>
      <c r="H172">
        <f t="shared" si="17"/>
        <v>162</v>
      </c>
      <c r="I172">
        <f t="shared" si="14"/>
        <v>1.125</v>
      </c>
      <c r="K172">
        <f t="shared" si="15"/>
        <v>162</v>
      </c>
      <c r="L172" s="2">
        <f t="shared" si="16"/>
        <v>0.23556607131276691</v>
      </c>
    </row>
    <row r="173" spans="1:12" x14ac:dyDescent="0.25">
      <c r="A173" s="4" t="s">
        <v>174</v>
      </c>
      <c r="B173" s="4">
        <v>225</v>
      </c>
      <c r="C173">
        <f t="shared" si="12"/>
        <v>1.125</v>
      </c>
      <c r="D173">
        <f t="shared" si="13"/>
        <v>349.2</v>
      </c>
      <c r="E173">
        <v>76.2</v>
      </c>
      <c r="H173">
        <f t="shared" si="17"/>
        <v>163</v>
      </c>
      <c r="I173">
        <f t="shared" si="14"/>
        <v>1.125</v>
      </c>
      <c r="K173">
        <f t="shared" si="15"/>
        <v>163</v>
      </c>
      <c r="L173" s="2">
        <f t="shared" si="16"/>
        <v>0.23556607131276691</v>
      </c>
    </row>
    <row r="174" spans="1:12" x14ac:dyDescent="0.25">
      <c r="A174" s="4" t="s">
        <v>175</v>
      </c>
      <c r="B174" s="4">
        <v>224</v>
      </c>
      <c r="C174">
        <f t="shared" si="12"/>
        <v>1.1200000000000001</v>
      </c>
      <c r="D174">
        <f t="shared" si="13"/>
        <v>349.2</v>
      </c>
      <c r="E174">
        <v>76.2</v>
      </c>
      <c r="H174">
        <f t="shared" si="17"/>
        <v>164</v>
      </c>
      <c r="I174">
        <f t="shared" si="14"/>
        <v>1.1200000000000001</v>
      </c>
      <c r="K174">
        <f t="shared" si="15"/>
        <v>164</v>
      </c>
      <c r="L174" s="2">
        <f t="shared" si="16"/>
        <v>0.22665737061400648</v>
      </c>
    </row>
    <row r="175" spans="1:12" x14ac:dyDescent="0.25">
      <c r="A175" s="4" t="s">
        <v>176</v>
      </c>
      <c r="B175" s="4">
        <v>222</v>
      </c>
      <c r="C175">
        <f t="shared" si="12"/>
        <v>1.1100000000000001</v>
      </c>
      <c r="D175">
        <f t="shared" si="13"/>
        <v>349.2</v>
      </c>
      <c r="E175">
        <v>76.2</v>
      </c>
      <c r="H175">
        <f t="shared" si="17"/>
        <v>165</v>
      </c>
      <c r="I175">
        <f t="shared" si="14"/>
        <v>1.1100000000000001</v>
      </c>
      <c r="K175">
        <f t="shared" si="15"/>
        <v>165</v>
      </c>
      <c r="L175" s="2">
        <f t="shared" si="16"/>
        <v>0.20872003064848568</v>
      </c>
    </row>
    <row r="176" spans="1:12" x14ac:dyDescent="0.25">
      <c r="A176" s="4" t="s">
        <v>177</v>
      </c>
      <c r="B176" s="4">
        <v>220</v>
      </c>
      <c r="C176">
        <f t="shared" si="12"/>
        <v>1.1000000000000001</v>
      </c>
      <c r="D176">
        <f t="shared" si="13"/>
        <v>348.7</v>
      </c>
      <c r="E176">
        <v>75.7</v>
      </c>
      <c r="H176">
        <f t="shared" si="17"/>
        <v>166</v>
      </c>
      <c r="I176">
        <f t="shared" si="14"/>
        <v>1.1000000000000001</v>
      </c>
      <c r="K176">
        <f t="shared" si="15"/>
        <v>166</v>
      </c>
      <c r="L176" s="2">
        <f t="shared" si="16"/>
        <v>0.19062035960864987</v>
      </c>
    </row>
    <row r="177" spans="1:12" x14ac:dyDescent="0.25">
      <c r="A177" s="4" t="s">
        <v>178</v>
      </c>
      <c r="B177" s="4">
        <v>220</v>
      </c>
      <c r="C177">
        <f t="shared" si="12"/>
        <v>1.1000000000000001</v>
      </c>
      <c r="D177">
        <f t="shared" si="13"/>
        <v>348.7</v>
      </c>
      <c r="E177">
        <v>75.7</v>
      </c>
      <c r="H177">
        <f t="shared" si="17"/>
        <v>167</v>
      </c>
      <c r="I177">
        <f t="shared" si="14"/>
        <v>1.1000000000000001</v>
      </c>
      <c r="K177">
        <f t="shared" si="15"/>
        <v>167</v>
      </c>
      <c r="L177" s="2">
        <f t="shared" si="16"/>
        <v>0.19062035960864987</v>
      </c>
    </row>
    <row r="178" spans="1:12" x14ac:dyDescent="0.25">
      <c r="A178" s="4" t="s">
        <v>179</v>
      </c>
      <c r="B178" s="4">
        <v>221</v>
      </c>
      <c r="C178">
        <f t="shared" si="12"/>
        <v>1.105</v>
      </c>
      <c r="D178">
        <f t="shared" si="13"/>
        <v>348.7</v>
      </c>
      <c r="E178">
        <v>75.7</v>
      </c>
      <c r="H178">
        <f t="shared" si="17"/>
        <v>168</v>
      </c>
      <c r="I178">
        <f t="shared" si="14"/>
        <v>1.105</v>
      </c>
      <c r="K178">
        <f t="shared" si="15"/>
        <v>168</v>
      </c>
      <c r="L178" s="2">
        <f t="shared" si="16"/>
        <v>0.1996906699394323</v>
      </c>
    </row>
    <row r="179" spans="1:12" x14ac:dyDescent="0.25">
      <c r="A179" s="4" t="s">
        <v>180</v>
      </c>
      <c r="B179" s="4">
        <v>220</v>
      </c>
      <c r="C179">
        <f t="shared" si="12"/>
        <v>1.1000000000000001</v>
      </c>
      <c r="D179">
        <f t="shared" si="13"/>
        <v>347.6</v>
      </c>
      <c r="E179">
        <v>74.599999999999994</v>
      </c>
      <c r="H179">
        <f t="shared" si="17"/>
        <v>169</v>
      </c>
      <c r="I179">
        <f t="shared" si="14"/>
        <v>1.1000000000000001</v>
      </c>
      <c r="K179">
        <f t="shared" si="15"/>
        <v>169</v>
      </c>
      <c r="L179" s="2">
        <f t="shared" si="16"/>
        <v>0.19062035960864987</v>
      </c>
    </row>
    <row r="180" spans="1:12" x14ac:dyDescent="0.25">
      <c r="A180" s="4" t="s">
        <v>181</v>
      </c>
      <c r="B180" s="4">
        <v>219</v>
      </c>
      <c r="C180">
        <f t="shared" si="12"/>
        <v>1.095</v>
      </c>
      <c r="D180">
        <f t="shared" si="13"/>
        <v>347.6</v>
      </c>
      <c r="E180">
        <v>74.599999999999994</v>
      </c>
      <c r="H180">
        <f t="shared" si="17"/>
        <v>170</v>
      </c>
      <c r="I180">
        <f t="shared" si="14"/>
        <v>1.095</v>
      </c>
      <c r="K180">
        <f t="shared" si="15"/>
        <v>170</v>
      </c>
      <c r="L180" s="2">
        <f t="shared" si="16"/>
        <v>0.18150872653692829</v>
      </c>
    </row>
    <row r="181" spans="1:12" x14ac:dyDescent="0.25">
      <c r="A181" s="4" t="s">
        <v>182</v>
      </c>
      <c r="B181" s="4">
        <v>219</v>
      </c>
      <c r="C181">
        <f t="shared" si="12"/>
        <v>1.095</v>
      </c>
      <c r="D181">
        <f t="shared" si="13"/>
        <v>347.6</v>
      </c>
      <c r="E181">
        <v>74.599999999999994</v>
      </c>
      <c r="H181">
        <f t="shared" si="17"/>
        <v>171</v>
      </c>
      <c r="I181">
        <f t="shared" si="14"/>
        <v>1.095</v>
      </c>
      <c r="K181">
        <f t="shared" si="15"/>
        <v>171</v>
      </c>
      <c r="L181" s="2">
        <f t="shared" si="16"/>
        <v>0.18150872653692829</v>
      </c>
    </row>
    <row r="182" spans="1:12" x14ac:dyDescent="0.25">
      <c r="A182" s="4" t="s">
        <v>183</v>
      </c>
      <c r="B182" s="4">
        <v>219</v>
      </c>
      <c r="C182">
        <f t="shared" si="12"/>
        <v>1.095</v>
      </c>
      <c r="D182">
        <f t="shared" si="13"/>
        <v>347.1</v>
      </c>
      <c r="E182">
        <v>74.099999999999994</v>
      </c>
      <c r="H182">
        <f t="shared" si="17"/>
        <v>172</v>
      </c>
      <c r="I182">
        <f t="shared" si="14"/>
        <v>1.095</v>
      </c>
      <c r="K182">
        <f t="shared" si="15"/>
        <v>172</v>
      </c>
      <c r="L182" s="2">
        <f t="shared" si="16"/>
        <v>0.18150872653692829</v>
      </c>
    </row>
    <row r="183" spans="1:12" x14ac:dyDescent="0.25">
      <c r="A183" s="4" t="s">
        <v>184</v>
      </c>
      <c r="B183" s="4">
        <v>218</v>
      </c>
      <c r="C183">
        <f t="shared" si="12"/>
        <v>1.0900000000000001</v>
      </c>
      <c r="D183">
        <f t="shared" si="13"/>
        <v>347.1</v>
      </c>
      <c r="E183">
        <v>74.099999999999994</v>
      </c>
      <c r="H183">
        <f t="shared" si="17"/>
        <v>173</v>
      </c>
      <c r="I183">
        <f t="shared" si="14"/>
        <v>1.0900000000000001</v>
      </c>
      <c r="K183">
        <f t="shared" si="15"/>
        <v>173</v>
      </c>
      <c r="L183" s="2">
        <f t="shared" si="16"/>
        <v>0.1723553924821048</v>
      </c>
    </row>
    <row r="184" spans="1:12" x14ac:dyDescent="0.25">
      <c r="A184" s="4" t="s">
        <v>185</v>
      </c>
      <c r="B184" s="4">
        <v>217</v>
      </c>
      <c r="C184">
        <f t="shared" si="12"/>
        <v>1.085</v>
      </c>
      <c r="D184">
        <f t="shared" si="13"/>
        <v>347.1</v>
      </c>
      <c r="E184">
        <v>74.099999999999994</v>
      </c>
      <c r="H184">
        <f t="shared" si="17"/>
        <v>174</v>
      </c>
      <c r="I184">
        <f t="shared" si="14"/>
        <v>1.085</v>
      </c>
      <c r="K184">
        <f t="shared" si="15"/>
        <v>174</v>
      </c>
      <c r="L184" s="2">
        <f t="shared" si="16"/>
        <v>0.16315997398484572</v>
      </c>
    </row>
    <row r="185" spans="1:12" x14ac:dyDescent="0.25">
      <c r="A185" s="4" t="s">
        <v>186</v>
      </c>
      <c r="B185" s="4">
        <v>216</v>
      </c>
      <c r="C185">
        <f t="shared" si="12"/>
        <v>1.08</v>
      </c>
      <c r="D185">
        <f t="shared" si="13"/>
        <v>347.1</v>
      </c>
      <c r="E185">
        <v>74.099999999999994</v>
      </c>
      <c r="H185">
        <f t="shared" si="17"/>
        <v>175</v>
      </c>
      <c r="I185">
        <f t="shared" si="14"/>
        <v>1.08</v>
      </c>
      <c r="K185">
        <f t="shared" si="15"/>
        <v>175</v>
      </c>
      <c r="L185" s="2">
        <f t="shared" si="16"/>
        <v>0.15392208227225673</v>
      </c>
    </row>
    <row r="186" spans="1:12" x14ac:dyDescent="0.25">
      <c r="A186" s="4" t="s">
        <v>187</v>
      </c>
      <c r="B186" s="4">
        <v>214</v>
      </c>
      <c r="C186">
        <f t="shared" si="12"/>
        <v>1.07</v>
      </c>
      <c r="D186">
        <f t="shared" si="13"/>
        <v>346.6</v>
      </c>
      <c r="E186">
        <v>73.599999999999994</v>
      </c>
      <c r="H186">
        <f t="shared" si="17"/>
        <v>176</v>
      </c>
      <c r="I186">
        <f t="shared" si="14"/>
        <v>1.07</v>
      </c>
      <c r="K186">
        <f t="shared" si="15"/>
        <v>176</v>
      </c>
      <c r="L186" s="2">
        <f t="shared" si="16"/>
        <v>0.13531729694762964</v>
      </c>
    </row>
    <row r="187" spans="1:12" x14ac:dyDescent="0.25">
      <c r="A187" s="4" t="s">
        <v>188</v>
      </c>
      <c r="B187" s="4">
        <v>213</v>
      </c>
      <c r="C187">
        <f t="shared" si="12"/>
        <v>1.0649999999999999</v>
      </c>
      <c r="D187">
        <f t="shared" si="13"/>
        <v>346.6</v>
      </c>
      <c r="E187">
        <v>73.599999999999994</v>
      </c>
      <c r="H187">
        <f t="shared" si="17"/>
        <v>177</v>
      </c>
      <c r="I187">
        <f t="shared" si="14"/>
        <v>1.0649999999999999</v>
      </c>
      <c r="K187">
        <f t="shared" si="15"/>
        <v>177</v>
      </c>
      <c r="L187" s="2">
        <f t="shared" si="16"/>
        <v>0.12594959832277672</v>
      </c>
    </row>
    <row r="188" spans="1:12" x14ac:dyDescent="0.25">
      <c r="A188" s="4" t="s">
        <v>189</v>
      </c>
      <c r="B188" s="4">
        <v>214</v>
      </c>
      <c r="C188">
        <f t="shared" si="12"/>
        <v>1.07</v>
      </c>
      <c r="D188">
        <f t="shared" si="13"/>
        <v>346.6</v>
      </c>
      <c r="E188">
        <v>73.599999999999994</v>
      </c>
      <c r="H188">
        <f t="shared" si="17"/>
        <v>178</v>
      </c>
      <c r="I188">
        <f t="shared" si="14"/>
        <v>1.07</v>
      </c>
      <c r="K188">
        <f t="shared" si="15"/>
        <v>178</v>
      </c>
      <c r="L188" s="2">
        <f t="shared" si="16"/>
        <v>0.13531729694762964</v>
      </c>
    </row>
    <row r="189" spans="1:12" x14ac:dyDescent="0.25">
      <c r="A189" s="4" t="s">
        <v>190</v>
      </c>
      <c r="B189" s="4">
        <v>212</v>
      </c>
      <c r="C189">
        <f t="shared" si="12"/>
        <v>1.06</v>
      </c>
      <c r="D189">
        <f t="shared" si="13"/>
        <v>346.4</v>
      </c>
      <c r="E189">
        <v>73.400000000000006</v>
      </c>
      <c r="H189">
        <f t="shared" si="17"/>
        <v>179</v>
      </c>
      <c r="I189">
        <f t="shared" si="14"/>
        <v>1.06</v>
      </c>
      <c r="K189">
        <f t="shared" si="15"/>
        <v>179</v>
      </c>
      <c r="L189" s="2">
        <f t="shared" si="16"/>
        <v>0.11653781624795169</v>
      </c>
    </row>
    <row r="190" spans="1:12" x14ac:dyDescent="0.25">
      <c r="A190" s="4" t="s">
        <v>191</v>
      </c>
      <c r="B190" s="4">
        <v>211</v>
      </c>
      <c r="C190">
        <f t="shared" si="12"/>
        <v>1.0549999999999999</v>
      </c>
      <c r="D190">
        <f t="shared" si="13"/>
        <v>346.4</v>
      </c>
      <c r="E190">
        <v>73.400000000000006</v>
      </c>
      <c r="H190">
        <f t="shared" si="17"/>
        <v>180</v>
      </c>
      <c r="I190">
        <f t="shared" si="14"/>
        <v>1.0549999999999999</v>
      </c>
      <c r="K190">
        <f t="shared" si="15"/>
        <v>180</v>
      </c>
      <c r="L190" s="2">
        <f t="shared" si="16"/>
        <v>0.10708153385605958</v>
      </c>
    </row>
    <row r="191" spans="1:12" x14ac:dyDescent="0.25">
      <c r="A191" s="4" t="s">
        <v>192</v>
      </c>
      <c r="B191" s="4">
        <v>211</v>
      </c>
      <c r="C191">
        <f t="shared" si="12"/>
        <v>1.0549999999999999</v>
      </c>
      <c r="D191">
        <f t="shared" si="13"/>
        <v>346.4</v>
      </c>
      <c r="E191">
        <v>73.400000000000006</v>
      </c>
      <c r="H191">
        <f t="shared" si="17"/>
        <v>181</v>
      </c>
      <c r="I191">
        <f t="shared" si="14"/>
        <v>1.0549999999999999</v>
      </c>
      <c r="K191">
        <f t="shared" si="15"/>
        <v>181</v>
      </c>
      <c r="L191" s="2">
        <f t="shared" si="16"/>
        <v>0.10708153385605958</v>
      </c>
    </row>
    <row r="192" spans="1:12" x14ac:dyDescent="0.25">
      <c r="A192" s="4" t="s">
        <v>193</v>
      </c>
      <c r="B192" s="4">
        <v>211</v>
      </c>
      <c r="C192">
        <f t="shared" si="12"/>
        <v>1.0549999999999999</v>
      </c>
      <c r="D192">
        <f t="shared" si="13"/>
        <v>345.5</v>
      </c>
      <c r="E192">
        <v>72.5</v>
      </c>
      <c r="H192">
        <f t="shared" si="17"/>
        <v>182</v>
      </c>
      <c r="I192">
        <f t="shared" si="14"/>
        <v>1.0549999999999999</v>
      </c>
      <c r="K192">
        <f t="shared" si="15"/>
        <v>182</v>
      </c>
      <c r="L192" s="2">
        <f t="shared" si="16"/>
        <v>0.10708153385605958</v>
      </c>
    </row>
    <row r="193" spans="1:12" x14ac:dyDescent="0.25">
      <c r="A193" s="4" t="s">
        <v>194</v>
      </c>
      <c r="B193" s="4">
        <v>210</v>
      </c>
      <c r="C193">
        <f t="shared" si="12"/>
        <v>1.05</v>
      </c>
      <c r="D193">
        <f t="shared" si="13"/>
        <v>345.5</v>
      </c>
      <c r="E193">
        <v>72.5</v>
      </c>
      <c r="H193">
        <f t="shared" si="17"/>
        <v>183</v>
      </c>
      <c r="I193">
        <f t="shared" si="14"/>
        <v>1.05</v>
      </c>
      <c r="K193">
        <f t="shared" si="15"/>
        <v>183</v>
      </c>
      <c r="L193" s="2">
        <f t="shared" si="16"/>
        <v>9.7580328338864042E-2</v>
      </c>
    </row>
    <row r="194" spans="1:12" x14ac:dyDescent="0.25">
      <c r="A194" s="4" t="s">
        <v>195</v>
      </c>
      <c r="B194" s="4">
        <v>208</v>
      </c>
      <c r="C194">
        <f t="shared" si="12"/>
        <v>1.04</v>
      </c>
      <c r="D194">
        <f t="shared" si="13"/>
        <v>345.5</v>
      </c>
      <c r="E194">
        <v>72.5</v>
      </c>
      <c r="H194">
        <f t="shared" si="17"/>
        <v>184</v>
      </c>
      <c r="I194">
        <f t="shared" si="14"/>
        <v>1.04</v>
      </c>
      <c r="K194">
        <f t="shared" si="15"/>
        <v>184</v>
      </c>
      <c r="L194" s="2">
        <f t="shared" si="16"/>
        <v>7.84414263065627E-2</v>
      </c>
    </row>
    <row r="195" spans="1:12" x14ac:dyDescent="0.25">
      <c r="A195" s="4" t="s">
        <v>196</v>
      </c>
      <c r="B195" s="4">
        <v>208</v>
      </c>
      <c r="C195">
        <f t="shared" si="12"/>
        <v>1.04</v>
      </c>
      <c r="D195">
        <f t="shared" si="13"/>
        <v>345.2</v>
      </c>
      <c r="E195">
        <v>72.2</v>
      </c>
      <c r="H195">
        <f t="shared" si="17"/>
        <v>185</v>
      </c>
      <c r="I195">
        <f t="shared" si="14"/>
        <v>1.04</v>
      </c>
      <c r="K195">
        <f t="shared" si="15"/>
        <v>185</v>
      </c>
      <c r="L195" s="2">
        <f t="shared" si="16"/>
        <v>7.84414263065627E-2</v>
      </c>
    </row>
    <row r="196" spans="1:12" x14ac:dyDescent="0.25">
      <c r="A196" s="4" t="s">
        <v>197</v>
      </c>
      <c r="B196" s="4">
        <v>207</v>
      </c>
      <c r="C196">
        <f t="shared" si="12"/>
        <v>1.0349999999999999</v>
      </c>
      <c r="D196">
        <f t="shared" si="13"/>
        <v>345.2</v>
      </c>
      <c r="E196">
        <v>72.2</v>
      </c>
      <c r="H196">
        <f t="shared" si="17"/>
        <v>186</v>
      </c>
      <c r="I196">
        <f t="shared" si="14"/>
        <v>1.0349999999999999</v>
      </c>
      <c r="K196">
        <f t="shared" si="15"/>
        <v>186</v>
      </c>
      <c r="L196" s="2">
        <f t="shared" si="16"/>
        <v>6.8802853434664676E-2</v>
      </c>
    </row>
    <row r="197" spans="1:12" x14ac:dyDescent="0.25">
      <c r="A197" s="4" t="s">
        <v>198</v>
      </c>
      <c r="B197" s="4">
        <v>206</v>
      </c>
      <c r="C197">
        <f t="shared" si="12"/>
        <v>1.03</v>
      </c>
      <c r="D197">
        <f t="shared" si="13"/>
        <v>345.2</v>
      </c>
      <c r="E197">
        <v>72.2</v>
      </c>
      <c r="H197">
        <f t="shared" si="17"/>
        <v>187</v>
      </c>
      <c r="I197">
        <f t="shared" si="14"/>
        <v>1.03</v>
      </c>
      <c r="K197">
        <f t="shared" si="15"/>
        <v>187</v>
      </c>
      <c r="L197" s="2">
        <f t="shared" si="16"/>
        <v>5.9117604483088761E-2</v>
      </c>
    </row>
    <row r="198" spans="1:12" x14ac:dyDescent="0.25">
      <c r="A198" s="4" t="s">
        <v>199</v>
      </c>
      <c r="B198" s="4">
        <v>205</v>
      </c>
      <c r="C198">
        <f t="shared" si="12"/>
        <v>1.0249999999999999</v>
      </c>
      <c r="D198">
        <f t="shared" si="13"/>
        <v>345.1</v>
      </c>
      <c r="E198">
        <v>72.099999999999994</v>
      </c>
      <c r="H198">
        <f t="shared" si="17"/>
        <v>188</v>
      </c>
      <c r="I198">
        <f t="shared" si="14"/>
        <v>1.0249999999999999</v>
      </c>
      <c r="K198">
        <f t="shared" si="15"/>
        <v>188</v>
      </c>
      <c r="L198" s="2">
        <f t="shared" si="16"/>
        <v>4.9385225180742925E-2</v>
      </c>
    </row>
    <row r="199" spans="1:12" x14ac:dyDescent="0.25">
      <c r="A199" s="4" t="s">
        <v>200</v>
      </c>
      <c r="B199" s="4">
        <v>206</v>
      </c>
      <c r="C199">
        <f t="shared" si="12"/>
        <v>1.03</v>
      </c>
      <c r="D199">
        <f t="shared" si="13"/>
        <v>345.1</v>
      </c>
      <c r="E199">
        <v>72.099999999999994</v>
      </c>
      <c r="H199">
        <f t="shared" si="17"/>
        <v>189</v>
      </c>
      <c r="I199">
        <f t="shared" si="14"/>
        <v>1.03</v>
      </c>
      <c r="K199">
        <f t="shared" si="15"/>
        <v>189</v>
      </c>
      <c r="L199" s="2">
        <f t="shared" si="16"/>
        <v>5.9117604483088761E-2</v>
      </c>
    </row>
    <row r="200" spans="1:12" x14ac:dyDescent="0.25">
      <c r="A200" s="4" t="s">
        <v>201</v>
      </c>
      <c r="B200" s="4">
        <v>205</v>
      </c>
      <c r="C200">
        <f t="shared" si="12"/>
        <v>1.0249999999999999</v>
      </c>
      <c r="D200">
        <f t="shared" si="13"/>
        <v>345.1</v>
      </c>
      <c r="E200">
        <v>72.099999999999994</v>
      </c>
      <c r="H200">
        <f t="shared" si="17"/>
        <v>190</v>
      </c>
      <c r="I200">
        <f t="shared" si="14"/>
        <v>1.0249999999999999</v>
      </c>
      <c r="K200">
        <f t="shared" si="15"/>
        <v>190</v>
      </c>
      <c r="L200" s="2">
        <f t="shared" si="16"/>
        <v>4.9385225180742925E-2</v>
      </c>
    </row>
    <row r="201" spans="1:12" x14ac:dyDescent="0.25">
      <c r="A201" s="4" t="s">
        <v>202</v>
      </c>
      <c r="B201" s="4">
        <v>204</v>
      </c>
      <c r="C201">
        <f t="shared" si="12"/>
        <v>1.02</v>
      </c>
      <c r="D201">
        <f t="shared" si="13"/>
        <v>345.1</v>
      </c>
      <c r="E201">
        <v>72.099999999999994</v>
      </c>
      <c r="H201">
        <f t="shared" si="17"/>
        <v>191</v>
      </c>
      <c r="I201">
        <f t="shared" si="14"/>
        <v>1.02</v>
      </c>
      <c r="K201">
        <f t="shared" si="15"/>
        <v>191</v>
      </c>
      <c r="L201" s="2">
        <f t="shared" si="16"/>
        <v>3.9605254592359418E-2</v>
      </c>
    </row>
    <row r="202" spans="1:12" x14ac:dyDescent="0.25">
      <c r="A202" s="4" t="s">
        <v>203</v>
      </c>
      <c r="B202" s="4">
        <v>201</v>
      </c>
      <c r="C202">
        <f t="shared" si="12"/>
        <v>1.0049999999999999</v>
      </c>
      <c r="D202">
        <f t="shared" si="13"/>
        <v>344.8</v>
      </c>
      <c r="E202">
        <v>71.8</v>
      </c>
      <c r="H202">
        <f t="shared" si="17"/>
        <v>192</v>
      </c>
      <c r="I202">
        <f t="shared" si="14"/>
        <v>1.0049999999999999</v>
      </c>
      <c r="K202">
        <f t="shared" si="15"/>
        <v>192</v>
      </c>
      <c r="L202" s="2">
        <f t="shared" si="16"/>
        <v>9.9750830220778786E-3</v>
      </c>
    </row>
    <row r="203" spans="1:12" x14ac:dyDescent="0.25">
      <c r="A203" s="4" t="s">
        <v>204</v>
      </c>
      <c r="B203" s="4">
        <v>201</v>
      </c>
      <c r="C203">
        <f t="shared" ref="C203:C266" si="18">B203/200</f>
        <v>1.0049999999999999</v>
      </c>
      <c r="D203">
        <f t="shared" ref="D203:D266" si="19">273+E203</f>
        <v>344.8</v>
      </c>
      <c r="E203">
        <v>71.8</v>
      </c>
      <c r="H203">
        <f t="shared" si="17"/>
        <v>193</v>
      </c>
      <c r="I203">
        <f t="shared" ref="I203:I266" si="20">C203</f>
        <v>1.0049999999999999</v>
      </c>
      <c r="K203">
        <f t="shared" ref="K203:K266" si="21">H203</f>
        <v>193</v>
      </c>
      <c r="L203" s="2">
        <f t="shared" ref="L203:L266" si="22">LN(I203*I203)</f>
        <v>9.9750830220778786E-3</v>
      </c>
    </row>
    <row r="204" spans="1:12" x14ac:dyDescent="0.25">
      <c r="A204" s="4" t="s">
        <v>205</v>
      </c>
      <c r="B204" s="4">
        <v>200</v>
      </c>
      <c r="C204">
        <f t="shared" si="18"/>
        <v>1</v>
      </c>
      <c r="D204">
        <f t="shared" si="19"/>
        <v>344.8</v>
      </c>
      <c r="E204">
        <v>71.8</v>
      </c>
      <c r="H204">
        <f t="shared" ref="H204:H267" si="23">H203+1</f>
        <v>194</v>
      </c>
      <c r="I204">
        <f t="shared" si="20"/>
        <v>1</v>
      </c>
      <c r="K204">
        <f t="shared" si="21"/>
        <v>194</v>
      </c>
      <c r="L204" s="2">
        <f t="shared" si="22"/>
        <v>0</v>
      </c>
    </row>
    <row r="205" spans="1:12" x14ac:dyDescent="0.25">
      <c r="A205" s="4" t="s">
        <v>206</v>
      </c>
      <c r="B205" s="4">
        <v>199</v>
      </c>
      <c r="C205">
        <f t="shared" si="18"/>
        <v>0.995</v>
      </c>
      <c r="D205">
        <f t="shared" si="19"/>
        <v>344.5</v>
      </c>
      <c r="E205">
        <v>71.5</v>
      </c>
      <c r="H205">
        <f t="shared" si="23"/>
        <v>195</v>
      </c>
      <c r="I205">
        <f t="shared" si="20"/>
        <v>0.995</v>
      </c>
      <c r="K205">
        <f t="shared" si="21"/>
        <v>195</v>
      </c>
      <c r="L205" s="2">
        <f t="shared" si="22"/>
        <v>-1.0025083647088521E-2</v>
      </c>
    </row>
    <row r="206" spans="1:12" x14ac:dyDescent="0.25">
      <c r="A206" s="4" t="s">
        <v>207</v>
      </c>
      <c r="B206" s="4">
        <v>199</v>
      </c>
      <c r="C206">
        <f t="shared" si="18"/>
        <v>0.995</v>
      </c>
      <c r="D206">
        <f t="shared" si="19"/>
        <v>344.5</v>
      </c>
      <c r="E206">
        <v>71.5</v>
      </c>
      <c r="H206">
        <f t="shared" si="23"/>
        <v>196</v>
      </c>
      <c r="I206">
        <f t="shared" si="20"/>
        <v>0.995</v>
      </c>
      <c r="K206">
        <f t="shared" si="21"/>
        <v>196</v>
      </c>
      <c r="L206" s="2">
        <f t="shared" si="22"/>
        <v>-1.0025083647088521E-2</v>
      </c>
    </row>
    <row r="207" spans="1:12" x14ac:dyDescent="0.25">
      <c r="A207" s="4" t="s">
        <v>208</v>
      </c>
      <c r="B207" s="4">
        <v>200</v>
      </c>
      <c r="C207">
        <f t="shared" si="18"/>
        <v>1</v>
      </c>
      <c r="D207">
        <f t="shared" si="19"/>
        <v>344.5</v>
      </c>
      <c r="E207">
        <v>71.5</v>
      </c>
      <c r="H207">
        <f t="shared" si="23"/>
        <v>197</v>
      </c>
      <c r="I207">
        <f t="shared" si="20"/>
        <v>1</v>
      </c>
      <c r="K207">
        <f t="shared" si="21"/>
        <v>197</v>
      </c>
      <c r="L207" s="2">
        <f t="shared" si="22"/>
        <v>0</v>
      </c>
    </row>
    <row r="208" spans="1:12" x14ac:dyDescent="0.25">
      <c r="A208" s="4" t="s">
        <v>209</v>
      </c>
      <c r="B208" s="4">
        <v>201</v>
      </c>
      <c r="C208">
        <f t="shared" si="18"/>
        <v>1.0049999999999999</v>
      </c>
      <c r="D208">
        <f t="shared" si="19"/>
        <v>344.1</v>
      </c>
      <c r="E208">
        <v>71.099999999999994</v>
      </c>
      <c r="H208">
        <f t="shared" si="23"/>
        <v>198</v>
      </c>
      <c r="I208">
        <f t="shared" si="20"/>
        <v>1.0049999999999999</v>
      </c>
      <c r="K208">
        <f t="shared" si="21"/>
        <v>198</v>
      </c>
      <c r="L208" s="2">
        <f t="shared" si="22"/>
        <v>9.9750830220778786E-3</v>
      </c>
    </row>
    <row r="209" spans="1:12" x14ac:dyDescent="0.25">
      <c r="A209" s="4" t="s">
        <v>210</v>
      </c>
      <c r="B209" s="4">
        <v>200</v>
      </c>
      <c r="C209">
        <f t="shared" si="18"/>
        <v>1</v>
      </c>
      <c r="D209">
        <f t="shared" si="19"/>
        <v>344.1</v>
      </c>
      <c r="E209">
        <v>71.099999999999994</v>
      </c>
      <c r="H209">
        <f t="shared" si="23"/>
        <v>199</v>
      </c>
      <c r="I209">
        <f t="shared" si="20"/>
        <v>1</v>
      </c>
      <c r="K209">
        <f t="shared" si="21"/>
        <v>199</v>
      </c>
      <c r="L209" s="2">
        <f t="shared" si="22"/>
        <v>0</v>
      </c>
    </row>
    <row r="210" spans="1:12" x14ac:dyDescent="0.25">
      <c r="A210" s="4" t="s">
        <v>211</v>
      </c>
      <c r="B210" s="4">
        <v>199</v>
      </c>
      <c r="C210">
        <f t="shared" si="18"/>
        <v>0.995</v>
      </c>
      <c r="D210">
        <f t="shared" si="19"/>
        <v>344.1</v>
      </c>
      <c r="E210">
        <v>71.099999999999994</v>
      </c>
      <c r="H210">
        <f t="shared" si="23"/>
        <v>200</v>
      </c>
      <c r="I210">
        <f t="shared" si="20"/>
        <v>0.995</v>
      </c>
      <c r="K210">
        <f t="shared" si="21"/>
        <v>200</v>
      </c>
      <c r="L210" s="2">
        <f t="shared" si="22"/>
        <v>-1.0025083647088521E-2</v>
      </c>
    </row>
    <row r="211" spans="1:12" x14ac:dyDescent="0.25">
      <c r="A211" s="4" t="s">
        <v>212</v>
      </c>
      <c r="B211" s="4">
        <v>196</v>
      </c>
      <c r="C211">
        <f t="shared" si="18"/>
        <v>0.98</v>
      </c>
      <c r="D211">
        <f t="shared" si="19"/>
        <v>343.8</v>
      </c>
      <c r="E211">
        <v>70.8</v>
      </c>
      <c r="H211">
        <f t="shared" si="23"/>
        <v>201</v>
      </c>
      <c r="I211">
        <f t="shared" si="20"/>
        <v>0.98</v>
      </c>
      <c r="K211">
        <f t="shared" si="21"/>
        <v>201</v>
      </c>
      <c r="L211" s="2">
        <f t="shared" si="22"/>
        <v>-4.040541463503898E-2</v>
      </c>
    </row>
    <row r="212" spans="1:12" x14ac:dyDescent="0.25">
      <c r="A212" s="4" t="s">
        <v>213</v>
      </c>
      <c r="B212" s="4">
        <v>197</v>
      </c>
      <c r="C212">
        <f t="shared" si="18"/>
        <v>0.98499999999999999</v>
      </c>
      <c r="D212">
        <f t="shared" si="19"/>
        <v>343.8</v>
      </c>
      <c r="E212">
        <v>70.8</v>
      </c>
      <c r="H212">
        <f t="shared" si="23"/>
        <v>202</v>
      </c>
      <c r="I212">
        <f t="shared" si="20"/>
        <v>0.98499999999999999</v>
      </c>
      <c r="K212">
        <f t="shared" si="21"/>
        <v>202</v>
      </c>
      <c r="L212" s="2">
        <f t="shared" si="22"/>
        <v>-3.0227275620096337E-2</v>
      </c>
    </row>
    <row r="213" spans="1:12" x14ac:dyDescent="0.25">
      <c r="A213" s="4" t="s">
        <v>214</v>
      </c>
      <c r="B213" s="4">
        <v>197</v>
      </c>
      <c r="C213">
        <f t="shared" si="18"/>
        <v>0.98499999999999999</v>
      </c>
      <c r="D213">
        <f t="shared" si="19"/>
        <v>343.8</v>
      </c>
      <c r="E213">
        <v>70.8</v>
      </c>
      <c r="H213">
        <f t="shared" si="23"/>
        <v>203</v>
      </c>
      <c r="I213">
        <f t="shared" si="20"/>
        <v>0.98499999999999999</v>
      </c>
      <c r="K213">
        <f t="shared" si="21"/>
        <v>203</v>
      </c>
      <c r="L213" s="2">
        <f t="shared" si="22"/>
        <v>-3.0227275620096337E-2</v>
      </c>
    </row>
    <row r="214" spans="1:12" x14ac:dyDescent="0.25">
      <c r="A214" s="4" t="s">
        <v>215</v>
      </c>
      <c r="B214" s="4">
        <v>196</v>
      </c>
      <c r="C214">
        <f t="shared" si="18"/>
        <v>0.98</v>
      </c>
      <c r="D214">
        <f t="shared" si="19"/>
        <v>343.3</v>
      </c>
      <c r="E214">
        <v>70.3</v>
      </c>
      <c r="H214">
        <f t="shared" si="23"/>
        <v>204</v>
      </c>
      <c r="I214">
        <f t="shared" si="20"/>
        <v>0.98</v>
      </c>
      <c r="K214">
        <f t="shared" si="21"/>
        <v>204</v>
      </c>
      <c r="L214" s="2">
        <f t="shared" si="22"/>
        <v>-4.040541463503898E-2</v>
      </c>
    </row>
    <row r="215" spans="1:12" x14ac:dyDescent="0.25">
      <c r="A215" s="4" t="s">
        <v>216</v>
      </c>
      <c r="B215" s="4">
        <v>195</v>
      </c>
      <c r="C215">
        <f t="shared" si="18"/>
        <v>0.97499999999999998</v>
      </c>
      <c r="D215">
        <f t="shared" si="19"/>
        <v>343.3</v>
      </c>
      <c r="E215">
        <v>70.3</v>
      </c>
      <c r="H215">
        <f t="shared" si="23"/>
        <v>205</v>
      </c>
      <c r="I215">
        <f t="shared" si="20"/>
        <v>0.97499999999999998</v>
      </c>
      <c r="K215">
        <f t="shared" si="21"/>
        <v>205</v>
      </c>
      <c r="L215" s="2">
        <f t="shared" si="22"/>
        <v>-5.0635615968579809E-2</v>
      </c>
    </row>
    <row r="216" spans="1:12" x14ac:dyDescent="0.25">
      <c r="A216" s="4" t="s">
        <v>217</v>
      </c>
      <c r="B216" s="4">
        <v>195</v>
      </c>
      <c r="C216">
        <f t="shared" si="18"/>
        <v>0.97499999999999998</v>
      </c>
      <c r="D216">
        <f t="shared" si="19"/>
        <v>343.3</v>
      </c>
      <c r="E216">
        <v>70.3</v>
      </c>
      <c r="H216">
        <f t="shared" si="23"/>
        <v>206</v>
      </c>
      <c r="I216">
        <f t="shared" si="20"/>
        <v>0.97499999999999998</v>
      </c>
      <c r="K216">
        <f t="shared" si="21"/>
        <v>206</v>
      </c>
      <c r="L216" s="2">
        <f t="shared" si="22"/>
        <v>-5.0635615968579809E-2</v>
      </c>
    </row>
    <row r="217" spans="1:12" x14ac:dyDescent="0.25">
      <c r="A217" s="4" t="s">
        <v>218</v>
      </c>
      <c r="B217" s="4">
        <v>194</v>
      </c>
      <c r="C217">
        <f t="shared" si="18"/>
        <v>0.97</v>
      </c>
      <c r="D217">
        <f t="shared" si="19"/>
        <v>343.3</v>
      </c>
      <c r="E217">
        <v>70.3</v>
      </c>
      <c r="H217">
        <f t="shared" si="23"/>
        <v>207</v>
      </c>
      <c r="I217">
        <f t="shared" si="20"/>
        <v>0.97</v>
      </c>
      <c r="K217">
        <f t="shared" si="21"/>
        <v>207</v>
      </c>
      <c r="L217" s="2">
        <f t="shared" si="22"/>
        <v>-6.0918414969417134E-2</v>
      </c>
    </row>
    <row r="218" spans="1:12" x14ac:dyDescent="0.25">
      <c r="A218" s="4" t="s">
        <v>219</v>
      </c>
      <c r="B218" s="4">
        <v>194</v>
      </c>
      <c r="C218">
        <f t="shared" si="18"/>
        <v>0.97</v>
      </c>
      <c r="D218">
        <f t="shared" si="19"/>
        <v>343.1</v>
      </c>
      <c r="E218">
        <v>70.099999999999994</v>
      </c>
      <c r="H218">
        <f t="shared" si="23"/>
        <v>208</v>
      </c>
      <c r="I218">
        <f t="shared" si="20"/>
        <v>0.97</v>
      </c>
      <c r="K218">
        <f t="shared" si="21"/>
        <v>208</v>
      </c>
      <c r="L218" s="2">
        <f t="shared" si="22"/>
        <v>-6.0918414969417134E-2</v>
      </c>
    </row>
    <row r="219" spans="1:12" x14ac:dyDescent="0.25">
      <c r="A219" s="4" t="s">
        <v>220</v>
      </c>
      <c r="B219" s="4">
        <v>192</v>
      </c>
      <c r="C219">
        <f t="shared" si="18"/>
        <v>0.96</v>
      </c>
      <c r="D219">
        <f t="shared" si="19"/>
        <v>343.1</v>
      </c>
      <c r="E219">
        <v>70.099999999999994</v>
      </c>
      <c r="H219">
        <f t="shared" si="23"/>
        <v>209</v>
      </c>
      <c r="I219">
        <f t="shared" si="20"/>
        <v>0.96</v>
      </c>
      <c r="K219">
        <f t="shared" si="21"/>
        <v>209</v>
      </c>
      <c r="L219" s="2">
        <f t="shared" si="22"/>
        <v>-8.164398904051029E-2</v>
      </c>
    </row>
    <row r="220" spans="1:12" x14ac:dyDescent="0.25">
      <c r="A220" s="4" t="s">
        <v>221</v>
      </c>
      <c r="B220" s="4">
        <v>193</v>
      </c>
      <c r="C220">
        <f t="shared" si="18"/>
        <v>0.96499999999999997</v>
      </c>
      <c r="D220">
        <f t="shared" si="19"/>
        <v>343.1</v>
      </c>
      <c r="E220">
        <v>70.099999999999994</v>
      </c>
      <c r="H220">
        <f t="shared" si="23"/>
        <v>210</v>
      </c>
      <c r="I220">
        <f t="shared" si="20"/>
        <v>0.96499999999999997</v>
      </c>
      <c r="K220">
        <f t="shared" si="21"/>
        <v>210</v>
      </c>
      <c r="L220" s="2">
        <f t="shared" si="22"/>
        <v>-7.1254355286302279E-2</v>
      </c>
    </row>
    <row r="221" spans="1:12" x14ac:dyDescent="0.25">
      <c r="A221" s="4" t="s">
        <v>222</v>
      </c>
      <c r="B221" s="4">
        <v>192</v>
      </c>
      <c r="C221">
        <f t="shared" si="18"/>
        <v>0.96</v>
      </c>
      <c r="D221">
        <f t="shared" si="19"/>
        <v>343</v>
      </c>
      <c r="E221">
        <v>70</v>
      </c>
      <c r="H221">
        <f t="shared" si="23"/>
        <v>211</v>
      </c>
      <c r="I221">
        <f t="shared" si="20"/>
        <v>0.96</v>
      </c>
      <c r="K221">
        <f t="shared" si="21"/>
        <v>211</v>
      </c>
      <c r="L221" s="2">
        <f t="shared" si="22"/>
        <v>-8.164398904051029E-2</v>
      </c>
    </row>
    <row r="222" spans="1:12" x14ac:dyDescent="0.25">
      <c r="A222" s="4" t="s">
        <v>223</v>
      </c>
      <c r="B222" s="4">
        <v>192</v>
      </c>
      <c r="C222">
        <f t="shared" si="18"/>
        <v>0.96</v>
      </c>
      <c r="D222">
        <f t="shared" si="19"/>
        <v>343</v>
      </c>
      <c r="E222">
        <v>70</v>
      </c>
      <c r="H222">
        <f t="shared" si="23"/>
        <v>212</v>
      </c>
      <c r="I222">
        <f t="shared" si="20"/>
        <v>0.96</v>
      </c>
      <c r="K222">
        <f t="shared" si="21"/>
        <v>212</v>
      </c>
      <c r="L222" s="2">
        <f t="shared" si="22"/>
        <v>-8.164398904051029E-2</v>
      </c>
    </row>
    <row r="223" spans="1:12" x14ac:dyDescent="0.25">
      <c r="A223" s="4" t="s">
        <v>224</v>
      </c>
      <c r="B223" s="4">
        <v>191</v>
      </c>
      <c r="C223">
        <f t="shared" si="18"/>
        <v>0.95499999999999996</v>
      </c>
      <c r="D223">
        <f t="shared" si="19"/>
        <v>343</v>
      </c>
      <c r="E223">
        <v>70</v>
      </c>
      <c r="H223">
        <f t="shared" si="23"/>
        <v>213</v>
      </c>
      <c r="I223">
        <f t="shared" si="20"/>
        <v>0.95499999999999996</v>
      </c>
      <c r="K223">
        <f t="shared" si="21"/>
        <v>213</v>
      </c>
      <c r="L223" s="2">
        <f t="shared" si="22"/>
        <v>-9.2087877002813637E-2</v>
      </c>
    </row>
    <row r="224" spans="1:12" x14ac:dyDescent="0.25">
      <c r="A224" s="4" t="s">
        <v>225</v>
      </c>
      <c r="B224" s="4">
        <v>190</v>
      </c>
      <c r="C224">
        <f t="shared" si="18"/>
        <v>0.95</v>
      </c>
      <c r="D224">
        <f t="shared" si="19"/>
        <v>342.8</v>
      </c>
      <c r="E224">
        <v>69.8</v>
      </c>
      <c r="H224">
        <f t="shared" si="23"/>
        <v>214</v>
      </c>
      <c r="I224">
        <f t="shared" si="20"/>
        <v>0.95</v>
      </c>
      <c r="K224">
        <f t="shared" si="21"/>
        <v>214</v>
      </c>
      <c r="L224" s="2">
        <f t="shared" si="22"/>
        <v>-0.1025865887751011</v>
      </c>
    </row>
    <row r="225" spans="1:12" x14ac:dyDescent="0.25">
      <c r="A225" s="4" t="s">
        <v>226</v>
      </c>
      <c r="B225" s="4">
        <v>190</v>
      </c>
      <c r="C225">
        <f t="shared" si="18"/>
        <v>0.95</v>
      </c>
      <c r="D225">
        <f t="shared" si="19"/>
        <v>342.8</v>
      </c>
      <c r="E225">
        <v>69.8</v>
      </c>
      <c r="H225">
        <f t="shared" si="23"/>
        <v>215</v>
      </c>
      <c r="I225">
        <f t="shared" si="20"/>
        <v>0.95</v>
      </c>
      <c r="K225">
        <f t="shared" si="21"/>
        <v>215</v>
      </c>
      <c r="L225" s="2">
        <f t="shared" si="22"/>
        <v>-0.1025865887751011</v>
      </c>
    </row>
    <row r="226" spans="1:12" x14ac:dyDescent="0.25">
      <c r="A226" s="4" t="s">
        <v>227</v>
      </c>
      <c r="B226" s="4">
        <v>189</v>
      </c>
      <c r="C226">
        <f t="shared" si="18"/>
        <v>0.94499999999999995</v>
      </c>
      <c r="D226">
        <f t="shared" si="19"/>
        <v>342.8</v>
      </c>
      <c r="E226">
        <v>69.8</v>
      </c>
      <c r="H226">
        <f t="shared" si="23"/>
        <v>216</v>
      </c>
      <c r="I226">
        <f t="shared" si="20"/>
        <v>0.94499999999999995</v>
      </c>
      <c r="K226">
        <f t="shared" si="21"/>
        <v>216</v>
      </c>
      <c r="L226" s="2">
        <f t="shared" si="22"/>
        <v>-0.11314070297678865</v>
      </c>
    </row>
    <row r="227" spans="1:12" x14ac:dyDescent="0.25">
      <c r="A227" s="4" t="s">
        <v>228</v>
      </c>
      <c r="B227" s="4">
        <v>190</v>
      </c>
      <c r="C227">
        <f t="shared" si="18"/>
        <v>0.95</v>
      </c>
      <c r="D227">
        <f t="shared" si="19"/>
        <v>342.6</v>
      </c>
      <c r="E227">
        <v>69.599999999999994</v>
      </c>
      <c r="H227">
        <f t="shared" si="23"/>
        <v>217</v>
      </c>
      <c r="I227">
        <f t="shared" si="20"/>
        <v>0.95</v>
      </c>
      <c r="K227">
        <f t="shared" si="21"/>
        <v>217</v>
      </c>
      <c r="L227" s="2">
        <f t="shared" si="22"/>
        <v>-0.1025865887751011</v>
      </c>
    </row>
    <row r="228" spans="1:12" x14ac:dyDescent="0.25">
      <c r="A228" s="4" t="s">
        <v>229</v>
      </c>
      <c r="B228" s="4">
        <v>190</v>
      </c>
      <c r="C228">
        <f t="shared" si="18"/>
        <v>0.95</v>
      </c>
      <c r="D228">
        <f t="shared" si="19"/>
        <v>342.6</v>
      </c>
      <c r="E228">
        <v>69.599999999999994</v>
      </c>
      <c r="H228">
        <f t="shared" si="23"/>
        <v>218</v>
      </c>
      <c r="I228">
        <f t="shared" si="20"/>
        <v>0.95</v>
      </c>
      <c r="K228">
        <f t="shared" si="21"/>
        <v>218</v>
      </c>
      <c r="L228" s="2">
        <f t="shared" si="22"/>
        <v>-0.1025865887751011</v>
      </c>
    </row>
    <row r="229" spans="1:12" x14ac:dyDescent="0.25">
      <c r="A229" s="4" t="s">
        <v>230</v>
      </c>
      <c r="B229" s="4">
        <v>190</v>
      </c>
      <c r="C229">
        <f t="shared" si="18"/>
        <v>0.95</v>
      </c>
      <c r="D229">
        <f t="shared" si="19"/>
        <v>342.6</v>
      </c>
      <c r="E229">
        <v>69.599999999999994</v>
      </c>
      <c r="H229">
        <f t="shared" si="23"/>
        <v>219</v>
      </c>
      <c r="I229">
        <f t="shared" si="20"/>
        <v>0.95</v>
      </c>
      <c r="K229">
        <f t="shared" si="21"/>
        <v>219</v>
      </c>
      <c r="L229" s="2">
        <f t="shared" si="22"/>
        <v>-0.1025865887751011</v>
      </c>
    </row>
    <row r="230" spans="1:12" x14ac:dyDescent="0.25">
      <c r="A230" s="4" t="s">
        <v>231</v>
      </c>
      <c r="B230" s="4">
        <v>188</v>
      </c>
      <c r="C230">
        <f t="shared" si="18"/>
        <v>0.94</v>
      </c>
      <c r="D230">
        <f t="shared" si="19"/>
        <v>342.3</v>
      </c>
      <c r="E230">
        <v>69.3</v>
      </c>
      <c r="H230">
        <f t="shared" si="23"/>
        <v>220</v>
      </c>
      <c r="I230">
        <f t="shared" si="20"/>
        <v>0.94</v>
      </c>
      <c r="K230">
        <f t="shared" si="21"/>
        <v>220</v>
      </c>
      <c r="L230" s="2">
        <f t="shared" si="22"/>
        <v>-0.12375080743617502</v>
      </c>
    </row>
    <row r="231" spans="1:12" x14ac:dyDescent="0.25">
      <c r="A231" s="4" t="s">
        <v>232</v>
      </c>
      <c r="B231" s="4">
        <v>187</v>
      </c>
      <c r="C231">
        <f t="shared" si="18"/>
        <v>0.93500000000000005</v>
      </c>
      <c r="D231">
        <f t="shared" si="19"/>
        <v>342.3</v>
      </c>
      <c r="E231">
        <v>69.3</v>
      </c>
      <c r="H231">
        <f t="shared" si="23"/>
        <v>221</v>
      </c>
      <c r="I231">
        <f t="shared" si="20"/>
        <v>0.93500000000000005</v>
      </c>
      <c r="K231">
        <f t="shared" si="21"/>
        <v>221</v>
      </c>
      <c r="L231" s="2">
        <f t="shared" si="22"/>
        <v>-0.13441749938689995</v>
      </c>
    </row>
    <row r="232" spans="1:12" x14ac:dyDescent="0.25">
      <c r="A232" s="4" t="s">
        <v>233</v>
      </c>
      <c r="B232" s="4">
        <v>187</v>
      </c>
      <c r="C232">
        <f t="shared" si="18"/>
        <v>0.93500000000000005</v>
      </c>
      <c r="D232">
        <f t="shared" si="19"/>
        <v>342.3</v>
      </c>
      <c r="E232">
        <v>69.3</v>
      </c>
      <c r="H232">
        <f t="shared" si="23"/>
        <v>222</v>
      </c>
      <c r="I232">
        <f t="shared" si="20"/>
        <v>0.93500000000000005</v>
      </c>
      <c r="K232">
        <f t="shared" si="21"/>
        <v>222</v>
      </c>
      <c r="L232" s="2">
        <f t="shared" si="22"/>
        <v>-0.13441749938689995</v>
      </c>
    </row>
    <row r="233" spans="1:12" x14ac:dyDescent="0.25">
      <c r="A233" s="4" t="s">
        <v>234</v>
      </c>
      <c r="B233" s="4">
        <v>187</v>
      </c>
      <c r="C233">
        <f t="shared" si="18"/>
        <v>0.93500000000000005</v>
      </c>
      <c r="D233">
        <f t="shared" si="19"/>
        <v>342.3</v>
      </c>
      <c r="E233">
        <v>69.3</v>
      </c>
      <c r="H233">
        <f t="shared" si="23"/>
        <v>223</v>
      </c>
      <c r="I233">
        <f t="shared" si="20"/>
        <v>0.93500000000000005</v>
      </c>
      <c r="K233">
        <f t="shared" si="21"/>
        <v>223</v>
      </c>
      <c r="L233" s="2">
        <f t="shared" si="22"/>
        <v>-0.13441749938689995</v>
      </c>
    </row>
    <row r="234" spans="1:12" x14ac:dyDescent="0.25">
      <c r="A234" s="4" t="s">
        <v>235</v>
      </c>
      <c r="B234" s="4">
        <v>187</v>
      </c>
      <c r="C234">
        <f t="shared" si="18"/>
        <v>0.93500000000000005</v>
      </c>
      <c r="D234">
        <f t="shared" si="19"/>
        <v>342</v>
      </c>
      <c r="E234">
        <v>69</v>
      </c>
      <c r="H234">
        <f t="shared" si="23"/>
        <v>224</v>
      </c>
      <c r="I234">
        <f t="shared" si="20"/>
        <v>0.93500000000000005</v>
      </c>
      <c r="K234">
        <f t="shared" si="21"/>
        <v>224</v>
      </c>
      <c r="L234" s="2">
        <f t="shared" si="22"/>
        <v>-0.13441749938689995</v>
      </c>
    </row>
    <row r="235" spans="1:12" x14ac:dyDescent="0.25">
      <c r="A235" s="4" t="s">
        <v>236</v>
      </c>
      <c r="B235" s="4">
        <v>185</v>
      </c>
      <c r="C235">
        <f t="shared" si="18"/>
        <v>0.92500000000000004</v>
      </c>
      <c r="D235">
        <f t="shared" si="19"/>
        <v>342</v>
      </c>
      <c r="E235">
        <v>69</v>
      </c>
      <c r="H235">
        <f t="shared" si="23"/>
        <v>225</v>
      </c>
      <c r="I235">
        <f t="shared" si="20"/>
        <v>0.92500000000000004</v>
      </c>
      <c r="K235">
        <f t="shared" si="21"/>
        <v>225</v>
      </c>
      <c r="L235" s="2">
        <f t="shared" si="22"/>
        <v>-0.15592308293942361</v>
      </c>
    </row>
    <row r="236" spans="1:12" x14ac:dyDescent="0.25">
      <c r="A236" s="4" t="s">
        <v>237</v>
      </c>
      <c r="B236" s="4">
        <v>186</v>
      </c>
      <c r="C236">
        <f t="shared" si="18"/>
        <v>0.93</v>
      </c>
      <c r="D236">
        <f t="shared" si="19"/>
        <v>342</v>
      </c>
      <c r="E236">
        <v>69</v>
      </c>
      <c r="H236">
        <f t="shared" si="23"/>
        <v>226</v>
      </c>
      <c r="I236">
        <f t="shared" si="20"/>
        <v>0.93</v>
      </c>
      <c r="K236">
        <f t="shared" si="21"/>
        <v>226</v>
      </c>
      <c r="L236" s="2">
        <f t="shared" si="22"/>
        <v>-0.14514138566967072</v>
      </c>
    </row>
    <row r="237" spans="1:12" x14ac:dyDescent="0.25">
      <c r="A237" s="4" t="s">
        <v>238</v>
      </c>
      <c r="B237" s="4">
        <v>185</v>
      </c>
      <c r="C237">
        <f t="shared" si="18"/>
        <v>0.92500000000000004</v>
      </c>
      <c r="D237">
        <f t="shared" si="19"/>
        <v>341.6</v>
      </c>
      <c r="E237">
        <v>68.599999999999994</v>
      </c>
      <c r="H237">
        <f t="shared" si="23"/>
        <v>227</v>
      </c>
      <c r="I237">
        <f t="shared" si="20"/>
        <v>0.92500000000000004</v>
      </c>
      <c r="K237">
        <f t="shared" si="21"/>
        <v>227</v>
      </c>
      <c r="L237" s="2">
        <f t="shared" si="22"/>
        <v>-0.15592308293942361</v>
      </c>
    </row>
    <row r="238" spans="1:12" x14ac:dyDescent="0.25">
      <c r="A238" s="4" t="s">
        <v>239</v>
      </c>
      <c r="B238" s="4">
        <v>185</v>
      </c>
      <c r="C238">
        <f t="shared" si="18"/>
        <v>0.92500000000000004</v>
      </c>
      <c r="D238">
        <f t="shared" si="19"/>
        <v>341.6</v>
      </c>
      <c r="E238">
        <v>68.599999999999994</v>
      </c>
      <c r="H238">
        <f t="shared" si="23"/>
        <v>228</v>
      </c>
      <c r="I238">
        <f t="shared" si="20"/>
        <v>0.92500000000000004</v>
      </c>
      <c r="K238">
        <f t="shared" si="21"/>
        <v>228</v>
      </c>
      <c r="L238" s="2">
        <f t="shared" si="22"/>
        <v>-0.15592308293942361</v>
      </c>
    </row>
    <row r="239" spans="1:12" x14ac:dyDescent="0.25">
      <c r="A239" s="4" t="s">
        <v>240</v>
      </c>
      <c r="B239" s="4">
        <v>184</v>
      </c>
      <c r="C239">
        <f t="shared" si="18"/>
        <v>0.92</v>
      </c>
      <c r="D239">
        <f t="shared" si="19"/>
        <v>341.6</v>
      </c>
      <c r="E239">
        <v>68.599999999999994</v>
      </c>
      <c r="H239">
        <f t="shared" si="23"/>
        <v>229</v>
      </c>
      <c r="I239">
        <f t="shared" si="20"/>
        <v>0.92</v>
      </c>
      <c r="K239">
        <f t="shared" si="21"/>
        <v>229</v>
      </c>
      <c r="L239" s="2">
        <f t="shared" si="22"/>
        <v>-0.16676321787810205</v>
      </c>
    </row>
    <row r="240" spans="1:12" x14ac:dyDescent="0.25">
      <c r="A240" s="4" t="s">
        <v>241</v>
      </c>
      <c r="B240" s="4">
        <v>183</v>
      </c>
      <c r="C240">
        <f t="shared" si="18"/>
        <v>0.91500000000000004</v>
      </c>
      <c r="D240">
        <f t="shared" si="19"/>
        <v>341.2</v>
      </c>
      <c r="E240">
        <v>68.2</v>
      </c>
      <c r="H240">
        <f t="shared" si="23"/>
        <v>230</v>
      </c>
      <c r="I240">
        <f t="shared" si="20"/>
        <v>0.91500000000000004</v>
      </c>
      <c r="K240">
        <f t="shared" si="21"/>
        <v>230</v>
      </c>
      <c r="L240" s="2">
        <f t="shared" si="22"/>
        <v>-0.17766242741323135</v>
      </c>
    </row>
    <row r="241" spans="1:12" x14ac:dyDescent="0.25">
      <c r="A241" s="4" t="s">
        <v>242</v>
      </c>
      <c r="B241" s="4">
        <v>184</v>
      </c>
      <c r="C241">
        <f t="shared" si="18"/>
        <v>0.92</v>
      </c>
      <c r="D241">
        <f t="shared" si="19"/>
        <v>341.2</v>
      </c>
      <c r="E241">
        <v>68.2</v>
      </c>
      <c r="H241">
        <f t="shared" si="23"/>
        <v>231</v>
      </c>
      <c r="I241">
        <f t="shared" si="20"/>
        <v>0.92</v>
      </c>
      <c r="K241">
        <f t="shared" si="21"/>
        <v>231</v>
      </c>
      <c r="L241" s="2">
        <f t="shared" si="22"/>
        <v>-0.16676321787810205</v>
      </c>
    </row>
    <row r="242" spans="1:12" x14ac:dyDescent="0.25">
      <c r="A242" s="4" t="s">
        <v>243</v>
      </c>
      <c r="B242" s="4">
        <v>186</v>
      </c>
      <c r="C242">
        <f t="shared" si="18"/>
        <v>0.93</v>
      </c>
      <c r="D242">
        <f t="shared" si="19"/>
        <v>341.2</v>
      </c>
      <c r="E242">
        <v>68.2</v>
      </c>
      <c r="H242">
        <f t="shared" si="23"/>
        <v>232</v>
      </c>
      <c r="I242">
        <f t="shared" si="20"/>
        <v>0.93</v>
      </c>
      <c r="K242">
        <f t="shared" si="21"/>
        <v>232</v>
      </c>
      <c r="L242" s="2">
        <f t="shared" si="22"/>
        <v>-0.14514138566967072</v>
      </c>
    </row>
    <row r="243" spans="1:12" x14ac:dyDescent="0.25">
      <c r="A243" s="4" t="s">
        <v>244</v>
      </c>
      <c r="B243" s="4">
        <v>185</v>
      </c>
      <c r="C243">
        <f t="shared" si="18"/>
        <v>0.92500000000000004</v>
      </c>
      <c r="D243">
        <f t="shared" si="19"/>
        <v>340.7</v>
      </c>
      <c r="E243">
        <v>67.7</v>
      </c>
      <c r="H243">
        <f t="shared" si="23"/>
        <v>233</v>
      </c>
      <c r="I243">
        <f t="shared" si="20"/>
        <v>0.92500000000000004</v>
      </c>
      <c r="K243">
        <f t="shared" si="21"/>
        <v>233</v>
      </c>
      <c r="L243" s="2">
        <f t="shared" si="22"/>
        <v>-0.15592308293942361</v>
      </c>
    </row>
    <row r="244" spans="1:12" x14ac:dyDescent="0.25">
      <c r="A244" s="4" t="s">
        <v>245</v>
      </c>
      <c r="B244" s="4">
        <v>185</v>
      </c>
      <c r="C244">
        <f t="shared" si="18"/>
        <v>0.92500000000000004</v>
      </c>
      <c r="D244">
        <f t="shared" si="19"/>
        <v>340.7</v>
      </c>
      <c r="E244">
        <v>67.7</v>
      </c>
      <c r="H244">
        <f t="shared" si="23"/>
        <v>234</v>
      </c>
      <c r="I244">
        <f t="shared" si="20"/>
        <v>0.92500000000000004</v>
      </c>
      <c r="K244">
        <f t="shared" si="21"/>
        <v>234</v>
      </c>
      <c r="L244" s="2">
        <f t="shared" si="22"/>
        <v>-0.15592308293942361</v>
      </c>
    </row>
    <row r="245" spans="1:12" x14ac:dyDescent="0.25">
      <c r="A245" s="4" t="s">
        <v>246</v>
      </c>
      <c r="B245" s="4">
        <v>184</v>
      </c>
      <c r="C245">
        <f t="shared" si="18"/>
        <v>0.92</v>
      </c>
      <c r="D245">
        <f t="shared" si="19"/>
        <v>340.7</v>
      </c>
      <c r="E245">
        <v>67.7</v>
      </c>
      <c r="H245">
        <f t="shared" si="23"/>
        <v>235</v>
      </c>
      <c r="I245">
        <f t="shared" si="20"/>
        <v>0.92</v>
      </c>
      <c r="K245">
        <f t="shared" si="21"/>
        <v>235</v>
      </c>
      <c r="L245" s="2">
        <f t="shared" si="22"/>
        <v>-0.16676321787810205</v>
      </c>
    </row>
    <row r="246" spans="1:12" x14ac:dyDescent="0.25">
      <c r="A246" s="4" t="s">
        <v>247</v>
      </c>
      <c r="B246" s="4">
        <v>184</v>
      </c>
      <c r="C246">
        <f t="shared" si="18"/>
        <v>0.92</v>
      </c>
      <c r="D246">
        <f t="shared" si="19"/>
        <v>340.5</v>
      </c>
      <c r="E246">
        <v>67.5</v>
      </c>
      <c r="H246">
        <f t="shared" si="23"/>
        <v>236</v>
      </c>
      <c r="I246">
        <f t="shared" si="20"/>
        <v>0.92</v>
      </c>
      <c r="K246">
        <f t="shared" si="21"/>
        <v>236</v>
      </c>
      <c r="L246" s="2">
        <f t="shared" si="22"/>
        <v>-0.16676321787810205</v>
      </c>
    </row>
    <row r="247" spans="1:12" x14ac:dyDescent="0.25">
      <c r="A247" s="4" t="s">
        <v>248</v>
      </c>
      <c r="B247" s="4">
        <v>185</v>
      </c>
      <c r="C247">
        <f t="shared" si="18"/>
        <v>0.92500000000000004</v>
      </c>
      <c r="D247">
        <f t="shared" si="19"/>
        <v>340.5</v>
      </c>
      <c r="E247">
        <v>67.5</v>
      </c>
      <c r="H247">
        <f t="shared" si="23"/>
        <v>237</v>
      </c>
      <c r="I247">
        <f t="shared" si="20"/>
        <v>0.92500000000000004</v>
      </c>
      <c r="K247">
        <f t="shared" si="21"/>
        <v>237</v>
      </c>
      <c r="L247" s="2">
        <f t="shared" si="22"/>
        <v>-0.15592308293942361</v>
      </c>
    </row>
    <row r="248" spans="1:12" x14ac:dyDescent="0.25">
      <c r="A248" s="4" t="s">
        <v>249</v>
      </c>
      <c r="B248" s="4">
        <v>184</v>
      </c>
      <c r="C248">
        <f t="shared" si="18"/>
        <v>0.92</v>
      </c>
      <c r="D248">
        <f t="shared" si="19"/>
        <v>340.5</v>
      </c>
      <c r="E248">
        <v>67.5</v>
      </c>
      <c r="H248">
        <f t="shared" si="23"/>
        <v>238</v>
      </c>
      <c r="I248">
        <f t="shared" si="20"/>
        <v>0.92</v>
      </c>
      <c r="K248">
        <f t="shared" si="21"/>
        <v>238</v>
      </c>
      <c r="L248" s="2">
        <f t="shared" si="22"/>
        <v>-0.16676321787810205</v>
      </c>
    </row>
    <row r="249" spans="1:12" x14ac:dyDescent="0.25">
      <c r="A249" s="4" t="s">
        <v>250</v>
      </c>
      <c r="B249" s="4">
        <v>182</v>
      </c>
      <c r="C249">
        <f t="shared" si="18"/>
        <v>0.91</v>
      </c>
      <c r="D249">
        <f t="shared" si="19"/>
        <v>340.5</v>
      </c>
      <c r="E249">
        <v>67.5</v>
      </c>
      <c r="H249">
        <f t="shared" si="23"/>
        <v>239</v>
      </c>
      <c r="I249">
        <f t="shared" si="20"/>
        <v>0.91</v>
      </c>
      <c r="K249">
        <f t="shared" si="21"/>
        <v>239</v>
      </c>
      <c r="L249" s="2">
        <f t="shared" si="22"/>
        <v>-0.18862135894248258</v>
      </c>
    </row>
    <row r="250" spans="1:12" x14ac:dyDescent="0.25">
      <c r="A250" s="4" t="s">
        <v>251</v>
      </c>
      <c r="B250" s="4">
        <v>183</v>
      </c>
      <c r="C250">
        <f t="shared" si="18"/>
        <v>0.91500000000000004</v>
      </c>
      <c r="D250">
        <f t="shared" si="19"/>
        <v>340.1</v>
      </c>
      <c r="E250">
        <v>67.099999999999994</v>
      </c>
      <c r="H250">
        <f t="shared" si="23"/>
        <v>240</v>
      </c>
      <c r="I250">
        <f t="shared" si="20"/>
        <v>0.91500000000000004</v>
      </c>
      <c r="K250">
        <f t="shared" si="21"/>
        <v>240</v>
      </c>
      <c r="L250" s="2">
        <f t="shared" si="22"/>
        <v>-0.17766242741323135</v>
      </c>
    </row>
    <row r="251" spans="1:12" x14ac:dyDescent="0.25">
      <c r="A251" s="4" t="s">
        <v>252</v>
      </c>
      <c r="B251" s="4">
        <v>183</v>
      </c>
      <c r="C251">
        <f t="shared" si="18"/>
        <v>0.91500000000000004</v>
      </c>
      <c r="D251">
        <f t="shared" si="19"/>
        <v>340.1</v>
      </c>
      <c r="E251">
        <v>67.099999999999994</v>
      </c>
      <c r="H251">
        <f t="shared" si="23"/>
        <v>241</v>
      </c>
      <c r="I251">
        <f t="shared" si="20"/>
        <v>0.91500000000000004</v>
      </c>
      <c r="K251">
        <f t="shared" si="21"/>
        <v>241</v>
      </c>
      <c r="L251" s="2">
        <f t="shared" si="22"/>
        <v>-0.17766242741323135</v>
      </c>
    </row>
    <row r="252" spans="1:12" x14ac:dyDescent="0.25">
      <c r="A252" s="4" t="s">
        <v>253</v>
      </c>
      <c r="B252" s="4">
        <v>182</v>
      </c>
      <c r="C252">
        <f t="shared" si="18"/>
        <v>0.91</v>
      </c>
      <c r="D252">
        <f t="shared" si="19"/>
        <v>340.1</v>
      </c>
      <c r="E252">
        <v>67.099999999999994</v>
      </c>
      <c r="H252">
        <f t="shared" si="23"/>
        <v>242</v>
      </c>
      <c r="I252">
        <f t="shared" si="20"/>
        <v>0.91</v>
      </c>
      <c r="K252">
        <f t="shared" si="21"/>
        <v>242</v>
      </c>
      <c r="L252" s="2">
        <f t="shared" si="22"/>
        <v>-0.18862135894248258</v>
      </c>
    </row>
    <row r="253" spans="1:12" x14ac:dyDescent="0.25">
      <c r="A253" s="4" t="s">
        <v>254</v>
      </c>
      <c r="B253" s="4">
        <v>181</v>
      </c>
      <c r="C253">
        <f t="shared" si="18"/>
        <v>0.90500000000000003</v>
      </c>
      <c r="D253">
        <f t="shared" si="19"/>
        <v>340.1</v>
      </c>
      <c r="E253">
        <v>67.099999999999994</v>
      </c>
      <c r="H253">
        <f t="shared" si="23"/>
        <v>243</v>
      </c>
      <c r="I253">
        <f t="shared" si="20"/>
        <v>0.90500000000000003</v>
      </c>
      <c r="K253">
        <f t="shared" si="21"/>
        <v>243</v>
      </c>
      <c r="L253" s="2">
        <f t="shared" si="22"/>
        <v>-0.19964067056442186</v>
      </c>
    </row>
    <row r="254" spans="1:12" x14ac:dyDescent="0.25">
      <c r="A254" s="4" t="s">
        <v>255</v>
      </c>
      <c r="B254" s="4">
        <v>181</v>
      </c>
      <c r="C254">
        <f t="shared" si="18"/>
        <v>0.90500000000000003</v>
      </c>
      <c r="D254">
        <f t="shared" si="19"/>
        <v>340.1</v>
      </c>
      <c r="E254">
        <v>67.099999999999994</v>
      </c>
      <c r="H254">
        <f t="shared" si="23"/>
        <v>244</v>
      </c>
      <c r="I254">
        <f t="shared" si="20"/>
        <v>0.90500000000000003</v>
      </c>
      <c r="K254">
        <f t="shared" si="21"/>
        <v>244</v>
      </c>
      <c r="L254" s="2">
        <f t="shared" si="22"/>
        <v>-0.19964067056442186</v>
      </c>
    </row>
    <row r="255" spans="1:12" x14ac:dyDescent="0.25">
      <c r="A255" s="4" t="s">
        <v>256</v>
      </c>
      <c r="B255" s="4">
        <v>182</v>
      </c>
      <c r="C255">
        <f t="shared" si="18"/>
        <v>0.91</v>
      </c>
      <c r="D255">
        <f t="shared" si="19"/>
        <v>340.1</v>
      </c>
      <c r="E255">
        <v>67.099999999999994</v>
      </c>
      <c r="H255">
        <f t="shared" si="23"/>
        <v>245</v>
      </c>
      <c r="I255">
        <f t="shared" si="20"/>
        <v>0.91</v>
      </c>
      <c r="K255">
        <f t="shared" si="21"/>
        <v>245</v>
      </c>
      <c r="L255" s="2">
        <f t="shared" si="22"/>
        <v>-0.18862135894248258</v>
      </c>
    </row>
    <row r="256" spans="1:12" x14ac:dyDescent="0.25">
      <c r="A256" s="4" t="s">
        <v>257</v>
      </c>
      <c r="B256" s="4">
        <v>182</v>
      </c>
      <c r="C256">
        <f t="shared" si="18"/>
        <v>0.91</v>
      </c>
      <c r="D256">
        <f t="shared" si="19"/>
        <v>339.9</v>
      </c>
      <c r="E256">
        <v>66.900000000000006</v>
      </c>
      <c r="H256">
        <f t="shared" si="23"/>
        <v>246</v>
      </c>
      <c r="I256">
        <f t="shared" si="20"/>
        <v>0.91</v>
      </c>
      <c r="K256">
        <f t="shared" si="21"/>
        <v>246</v>
      </c>
      <c r="L256" s="2">
        <f t="shared" si="22"/>
        <v>-0.18862135894248258</v>
      </c>
    </row>
    <row r="257" spans="1:12" x14ac:dyDescent="0.25">
      <c r="A257" s="4" t="s">
        <v>258</v>
      </c>
      <c r="B257" s="4">
        <v>181</v>
      </c>
      <c r="C257">
        <f t="shared" si="18"/>
        <v>0.90500000000000003</v>
      </c>
      <c r="D257">
        <f t="shared" si="19"/>
        <v>339.9</v>
      </c>
      <c r="E257">
        <v>66.900000000000006</v>
      </c>
      <c r="H257">
        <f t="shared" si="23"/>
        <v>247</v>
      </c>
      <c r="I257">
        <f t="shared" si="20"/>
        <v>0.90500000000000003</v>
      </c>
      <c r="K257">
        <f t="shared" si="21"/>
        <v>247</v>
      </c>
      <c r="L257" s="2">
        <f t="shared" si="22"/>
        <v>-0.19964067056442186</v>
      </c>
    </row>
    <row r="258" spans="1:12" x14ac:dyDescent="0.25">
      <c r="A258" s="4" t="s">
        <v>259</v>
      </c>
      <c r="B258" s="4">
        <v>178</v>
      </c>
      <c r="C258">
        <f t="shared" si="18"/>
        <v>0.89</v>
      </c>
      <c r="D258">
        <f t="shared" si="19"/>
        <v>339.9</v>
      </c>
      <c r="E258">
        <v>66.900000000000006</v>
      </c>
      <c r="H258">
        <f t="shared" si="23"/>
        <v>248</v>
      </c>
      <c r="I258">
        <f t="shared" si="20"/>
        <v>0.89</v>
      </c>
      <c r="K258">
        <f t="shared" si="21"/>
        <v>248</v>
      </c>
      <c r="L258" s="2">
        <f t="shared" si="22"/>
        <v>-0.23306763251190302</v>
      </c>
    </row>
    <row r="259" spans="1:12" x14ac:dyDescent="0.25">
      <c r="A259" s="4" t="s">
        <v>260</v>
      </c>
      <c r="B259" s="4">
        <v>179</v>
      </c>
      <c r="C259">
        <f t="shared" si="18"/>
        <v>0.89500000000000002</v>
      </c>
      <c r="D259">
        <f t="shared" si="19"/>
        <v>339.8</v>
      </c>
      <c r="E259">
        <v>66.8</v>
      </c>
      <c r="H259">
        <f t="shared" si="23"/>
        <v>249</v>
      </c>
      <c r="I259">
        <f t="shared" si="20"/>
        <v>0.89500000000000002</v>
      </c>
      <c r="K259">
        <f t="shared" si="21"/>
        <v>249</v>
      </c>
      <c r="L259" s="2">
        <f t="shared" si="22"/>
        <v>-0.22186312141456338</v>
      </c>
    </row>
    <row r="260" spans="1:12" x14ac:dyDescent="0.25">
      <c r="A260" s="4" t="s">
        <v>261</v>
      </c>
      <c r="B260" s="4">
        <v>178</v>
      </c>
      <c r="C260">
        <f t="shared" si="18"/>
        <v>0.89</v>
      </c>
      <c r="D260">
        <f t="shared" si="19"/>
        <v>339.8</v>
      </c>
      <c r="E260">
        <v>66.8</v>
      </c>
      <c r="H260">
        <f t="shared" si="23"/>
        <v>250</v>
      </c>
      <c r="I260">
        <f t="shared" si="20"/>
        <v>0.89</v>
      </c>
      <c r="K260">
        <f t="shared" si="21"/>
        <v>250</v>
      </c>
      <c r="L260" s="2">
        <f t="shared" si="22"/>
        <v>-0.23306763251190302</v>
      </c>
    </row>
    <row r="261" spans="1:12" x14ac:dyDescent="0.25">
      <c r="A261" s="4" t="s">
        <v>262</v>
      </c>
      <c r="B261" s="4">
        <v>178</v>
      </c>
      <c r="C261">
        <f t="shared" si="18"/>
        <v>0.89</v>
      </c>
      <c r="D261">
        <f t="shared" si="19"/>
        <v>339.8</v>
      </c>
      <c r="E261">
        <v>66.8</v>
      </c>
      <c r="H261">
        <f t="shared" si="23"/>
        <v>251</v>
      </c>
      <c r="I261">
        <f t="shared" si="20"/>
        <v>0.89</v>
      </c>
      <c r="K261">
        <f t="shared" si="21"/>
        <v>251</v>
      </c>
      <c r="L261" s="2">
        <f t="shared" si="22"/>
        <v>-0.23306763251190302</v>
      </c>
    </row>
    <row r="262" spans="1:12" x14ac:dyDescent="0.25">
      <c r="A262" s="4" t="s">
        <v>263</v>
      </c>
      <c r="B262" s="4">
        <v>178</v>
      </c>
      <c r="C262">
        <f t="shared" si="18"/>
        <v>0.89</v>
      </c>
      <c r="D262">
        <f t="shared" si="19"/>
        <v>339.5</v>
      </c>
      <c r="E262">
        <v>66.5</v>
      </c>
      <c r="H262">
        <f t="shared" si="23"/>
        <v>252</v>
      </c>
      <c r="I262">
        <f t="shared" si="20"/>
        <v>0.89</v>
      </c>
      <c r="K262">
        <f t="shared" si="21"/>
        <v>252</v>
      </c>
      <c r="L262" s="2">
        <f t="shared" si="22"/>
        <v>-0.23306763251190302</v>
      </c>
    </row>
    <row r="263" spans="1:12" x14ac:dyDescent="0.25">
      <c r="A263" s="4" t="s">
        <v>264</v>
      </c>
      <c r="B263" s="4">
        <v>179</v>
      </c>
      <c r="C263">
        <f t="shared" si="18"/>
        <v>0.89500000000000002</v>
      </c>
      <c r="D263">
        <f t="shared" si="19"/>
        <v>339.5</v>
      </c>
      <c r="E263">
        <v>66.5</v>
      </c>
      <c r="H263">
        <f t="shared" si="23"/>
        <v>253</v>
      </c>
      <c r="I263">
        <f t="shared" si="20"/>
        <v>0.89500000000000002</v>
      </c>
      <c r="K263">
        <f t="shared" si="21"/>
        <v>253</v>
      </c>
      <c r="L263" s="2">
        <f t="shared" si="22"/>
        <v>-0.22186312141456338</v>
      </c>
    </row>
    <row r="264" spans="1:12" x14ac:dyDescent="0.25">
      <c r="A264" s="4" t="s">
        <v>265</v>
      </c>
      <c r="B264" s="4">
        <v>178</v>
      </c>
      <c r="C264">
        <f t="shared" si="18"/>
        <v>0.89</v>
      </c>
      <c r="D264">
        <f t="shared" si="19"/>
        <v>339.5</v>
      </c>
      <c r="E264">
        <v>66.5</v>
      </c>
      <c r="H264">
        <f t="shared" si="23"/>
        <v>254</v>
      </c>
      <c r="I264">
        <f t="shared" si="20"/>
        <v>0.89</v>
      </c>
      <c r="K264">
        <f t="shared" si="21"/>
        <v>254</v>
      </c>
      <c r="L264" s="2">
        <f t="shared" si="22"/>
        <v>-0.23306763251190302</v>
      </c>
    </row>
    <row r="265" spans="1:12" x14ac:dyDescent="0.25">
      <c r="A265" s="4" t="s">
        <v>266</v>
      </c>
      <c r="B265" s="4">
        <v>177</v>
      </c>
      <c r="C265">
        <f t="shared" si="18"/>
        <v>0.88500000000000001</v>
      </c>
      <c r="D265">
        <f t="shared" si="19"/>
        <v>339.5</v>
      </c>
      <c r="E265">
        <v>66.5</v>
      </c>
      <c r="H265">
        <f t="shared" si="23"/>
        <v>255</v>
      </c>
      <c r="I265">
        <f t="shared" si="20"/>
        <v>0.88500000000000001</v>
      </c>
      <c r="K265">
        <f t="shared" si="21"/>
        <v>255</v>
      </c>
      <c r="L265" s="2">
        <f t="shared" si="22"/>
        <v>-0.24433526794841501</v>
      </c>
    </row>
    <row r="266" spans="1:12" x14ac:dyDescent="0.25">
      <c r="A266" s="4" t="s">
        <v>267</v>
      </c>
      <c r="B266" s="4">
        <v>177</v>
      </c>
      <c r="C266">
        <f t="shared" si="18"/>
        <v>0.88500000000000001</v>
      </c>
      <c r="D266">
        <f t="shared" si="19"/>
        <v>339.3</v>
      </c>
      <c r="E266">
        <v>66.3</v>
      </c>
      <c r="H266">
        <f t="shared" si="23"/>
        <v>256</v>
      </c>
      <c r="I266">
        <f t="shared" si="20"/>
        <v>0.88500000000000001</v>
      </c>
      <c r="K266">
        <f t="shared" si="21"/>
        <v>256</v>
      </c>
      <c r="L266" s="2">
        <f t="shared" si="22"/>
        <v>-0.24433526794841501</v>
      </c>
    </row>
    <row r="267" spans="1:12" x14ac:dyDescent="0.25">
      <c r="A267" s="4" t="s">
        <v>268</v>
      </c>
      <c r="B267" s="4">
        <v>178</v>
      </c>
      <c r="C267">
        <f t="shared" ref="C267:C330" si="24">B267/200</f>
        <v>0.89</v>
      </c>
      <c r="D267">
        <f t="shared" ref="D267:D330" si="25">273+E267</f>
        <v>339.3</v>
      </c>
      <c r="E267">
        <v>66.3</v>
      </c>
      <c r="H267">
        <f t="shared" si="23"/>
        <v>257</v>
      </c>
      <c r="I267">
        <f t="shared" ref="I267:I330" si="26">C267</f>
        <v>0.89</v>
      </c>
      <c r="K267">
        <f t="shared" ref="K267:K330" si="27">H267</f>
        <v>257</v>
      </c>
      <c r="L267" s="2">
        <f t="shared" ref="L267:L330" si="28">LN(I267*I267)</f>
        <v>-0.23306763251190302</v>
      </c>
    </row>
    <row r="268" spans="1:12" x14ac:dyDescent="0.25">
      <c r="A268" s="4" t="s">
        <v>269</v>
      </c>
      <c r="B268" s="4">
        <v>177</v>
      </c>
      <c r="C268">
        <f t="shared" si="24"/>
        <v>0.88500000000000001</v>
      </c>
      <c r="D268">
        <f t="shared" si="25"/>
        <v>339.3</v>
      </c>
      <c r="E268">
        <v>66.3</v>
      </c>
      <c r="H268">
        <f t="shared" ref="H268:H331" si="29">H267+1</f>
        <v>258</v>
      </c>
      <c r="I268">
        <f t="shared" si="26"/>
        <v>0.88500000000000001</v>
      </c>
      <c r="K268">
        <f t="shared" si="27"/>
        <v>258</v>
      </c>
      <c r="L268" s="2">
        <f t="shared" si="28"/>
        <v>-0.24433526794841501</v>
      </c>
    </row>
    <row r="269" spans="1:12" x14ac:dyDescent="0.25">
      <c r="A269" s="4" t="s">
        <v>270</v>
      </c>
      <c r="B269" s="4">
        <v>176</v>
      </c>
      <c r="C269">
        <f t="shared" si="24"/>
        <v>0.88</v>
      </c>
      <c r="D269">
        <f t="shared" si="25"/>
        <v>339</v>
      </c>
      <c r="E269">
        <v>66</v>
      </c>
      <c r="H269">
        <f t="shared" si="29"/>
        <v>259</v>
      </c>
      <c r="I269">
        <f t="shared" si="26"/>
        <v>0.88</v>
      </c>
      <c r="K269">
        <f t="shared" si="27"/>
        <v>259</v>
      </c>
      <c r="L269" s="2">
        <f t="shared" si="28"/>
        <v>-0.25566674301976983</v>
      </c>
    </row>
    <row r="270" spans="1:12" x14ac:dyDescent="0.25">
      <c r="A270" s="4" t="s">
        <v>271</v>
      </c>
      <c r="B270" s="4">
        <v>176</v>
      </c>
      <c r="C270">
        <f t="shared" si="24"/>
        <v>0.88</v>
      </c>
      <c r="D270">
        <f t="shared" si="25"/>
        <v>339</v>
      </c>
      <c r="E270">
        <v>66</v>
      </c>
      <c r="H270">
        <f t="shared" si="29"/>
        <v>260</v>
      </c>
      <c r="I270">
        <f t="shared" si="26"/>
        <v>0.88</v>
      </c>
      <c r="K270">
        <f t="shared" si="27"/>
        <v>260</v>
      </c>
      <c r="L270" s="2">
        <f t="shared" si="28"/>
        <v>-0.25566674301976983</v>
      </c>
    </row>
    <row r="271" spans="1:12" x14ac:dyDescent="0.25">
      <c r="A271" s="4" t="s">
        <v>272</v>
      </c>
      <c r="B271" s="4">
        <v>176</v>
      </c>
      <c r="C271">
        <f t="shared" si="24"/>
        <v>0.88</v>
      </c>
      <c r="D271">
        <f t="shared" si="25"/>
        <v>339</v>
      </c>
      <c r="E271">
        <v>66</v>
      </c>
      <c r="H271">
        <f t="shared" si="29"/>
        <v>261</v>
      </c>
      <c r="I271">
        <f t="shared" si="26"/>
        <v>0.88</v>
      </c>
      <c r="K271">
        <f t="shared" si="27"/>
        <v>261</v>
      </c>
      <c r="L271" s="2">
        <f t="shared" si="28"/>
        <v>-0.25566674301976983</v>
      </c>
    </row>
    <row r="272" spans="1:12" x14ac:dyDescent="0.25">
      <c r="A272" s="4" t="s">
        <v>273</v>
      </c>
      <c r="B272" s="4">
        <v>175</v>
      </c>
      <c r="C272">
        <f t="shared" si="24"/>
        <v>0.875</v>
      </c>
      <c r="D272">
        <f t="shared" si="25"/>
        <v>338.9</v>
      </c>
      <c r="E272">
        <v>65.900000000000006</v>
      </c>
      <c r="H272">
        <f t="shared" si="29"/>
        <v>262</v>
      </c>
      <c r="I272">
        <f t="shared" si="26"/>
        <v>0.875</v>
      </c>
      <c r="K272">
        <f t="shared" si="27"/>
        <v>262</v>
      </c>
      <c r="L272" s="2">
        <f t="shared" si="28"/>
        <v>-0.26706278524904525</v>
      </c>
    </row>
    <row r="273" spans="1:12" x14ac:dyDescent="0.25">
      <c r="A273" s="4" t="s">
        <v>274</v>
      </c>
      <c r="B273" s="4">
        <v>175</v>
      </c>
      <c r="C273">
        <f t="shared" si="24"/>
        <v>0.875</v>
      </c>
      <c r="D273">
        <f t="shared" si="25"/>
        <v>338.9</v>
      </c>
      <c r="E273">
        <v>65.900000000000006</v>
      </c>
      <c r="H273">
        <f t="shared" si="29"/>
        <v>263</v>
      </c>
      <c r="I273">
        <f t="shared" si="26"/>
        <v>0.875</v>
      </c>
      <c r="K273">
        <f t="shared" si="27"/>
        <v>263</v>
      </c>
      <c r="L273" s="2">
        <f t="shared" si="28"/>
        <v>-0.26706278524904525</v>
      </c>
    </row>
    <row r="274" spans="1:12" x14ac:dyDescent="0.25">
      <c r="A274" s="4" t="s">
        <v>275</v>
      </c>
      <c r="B274" s="4">
        <v>176</v>
      </c>
      <c r="C274">
        <f t="shared" si="24"/>
        <v>0.88</v>
      </c>
      <c r="D274">
        <f t="shared" si="25"/>
        <v>338.9</v>
      </c>
      <c r="E274">
        <v>65.900000000000006</v>
      </c>
      <c r="H274">
        <f t="shared" si="29"/>
        <v>264</v>
      </c>
      <c r="I274">
        <f t="shared" si="26"/>
        <v>0.88</v>
      </c>
      <c r="K274">
        <f t="shared" si="27"/>
        <v>264</v>
      </c>
      <c r="L274" s="2">
        <f t="shared" si="28"/>
        <v>-0.25566674301976983</v>
      </c>
    </row>
    <row r="275" spans="1:12" x14ac:dyDescent="0.25">
      <c r="A275" s="4" t="s">
        <v>276</v>
      </c>
      <c r="B275" s="4">
        <v>175</v>
      </c>
      <c r="C275">
        <f t="shared" si="24"/>
        <v>0.875</v>
      </c>
      <c r="D275">
        <f t="shared" si="25"/>
        <v>338.7</v>
      </c>
      <c r="E275">
        <v>65.7</v>
      </c>
      <c r="H275">
        <f t="shared" si="29"/>
        <v>265</v>
      </c>
      <c r="I275">
        <f t="shared" si="26"/>
        <v>0.875</v>
      </c>
      <c r="K275">
        <f t="shared" si="27"/>
        <v>265</v>
      </c>
      <c r="L275" s="2">
        <f t="shared" si="28"/>
        <v>-0.26706278524904525</v>
      </c>
    </row>
    <row r="276" spans="1:12" x14ac:dyDescent="0.25">
      <c r="A276" s="4" t="s">
        <v>277</v>
      </c>
      <c r="B276" s="4">
        <v>174</v>
      </c>
      <c r="C276">
        <f t="shared" si="24"/>
        <v>0.87</v>
      </c>
      <c r="D276">
        <f t="shared" si="25"/>
        <v>338.7</v>
      </c>
      <c r="E276">
        <v>65.7</v>
      </c>
      <c r="H276">
        <f t="shared" si="29"/>
        <v>266</v>
      </c>
      <c r="I276">
        <f t="shared" si="26"/>
        <v>0.87</v>
      </c>
      <c r="K276">
        <f t="shared" si="27"/>
        <v>266</v>
      </c>
      <c r="L276" s="2">
        <f t="shared" si="28"/>
        <v>-0.27852413466701526</v>
      </c>
    </row>
    <row r="277" spans="1:12" x14ac:dyDescent="0.25">
      <c r="A277" s="4" t="s">
        <v>278</v>
      </c>
      <c r="B277" s="4">
        <v>175</v>
      </c>
      <c r="C277">
        <f t="shared" si="24"/>
        <v>0.875</v>
      </c>
      <c r="D277">
        <f t="shared" si="25"/>
        <v>338.7</v>
      </c>
      <c r="E277">
        <v>65.7</v>
      </c>
      <c r="H277">
        <f t="shared" si="29"/>
        <v>267</v>
      </c>
      <c r="I277">
        <f t="shared" si="26"/>
        <v>0.875</v>
      </c>
      <c r="K277">
        <f t="shared" si="27"/>
        <v>267</v>
      </c>
      <c r="L277" s="2">
        <f t="shared" si="28"/>
        <v>-0.26706278524904525</v>
      </c>
    </row>
    <row r="278" spans="1:12" x14ac:dyDescent="0.25">
      <c r="A278" s="4" t="s">
        <v>279</v>
      </c>
      <c r="B278" s="4">
        <v>175</v>
      </c>
      <c r="C278">
        <f t="shared" si="24"/>
        <v>0.875</v>
      </c>
      <c r="D278">
        <f t="shared" si="25"/>
        <v>338.4</v>
      </c>
      <c r="E278">
        <v>65.400000000000006</v>
      </c>
      <c r="H278">
        <f t="shared" si="29"/>
        <v>268</v>
      </c>
      <c r="I278">
        <f t="shared" si="26"/>
        <v>0.875</v>
      </c>
      <c r="K278">
        <f t="shared" si="27"/>
        <v>268</v>
      </c>
      <c r="L278" s="2">
        <f t="shared" si="28"/>
        <v>-0.26706278524904525</v>
      </c>
    </row>
    <row r="279" spans="1:12" x14ac:dyDescent="0.25">
      <c r="A279" s="4" t="s">
        <v>280</v>
      </c>
      <c r="B279" s="4">
        <v>174</v>
      </c>
      <c r="C279">
        <f t="shared" si="24"/>
        <v>0.87</v>
      </c>
      <c r="D279">
        <f t="shared" si="25"/>
        <v>338.4</v>
      </c>
      <c r="E279">
        <v>65.400000000000006</v>
      </c>
      <c r="H279">
        <f t="shared" si="29"/>
        <v>269</v>
      </c>
      <c r="I279">
        <f t="shared" si="26"/>
        <v>0.87</v>
      </c>
      <c r="K279">
        <f t="shared" si="27"/>
        <v>269</v>
      </c>
      <c r="L279" s="2">
        <f t="shared" si="28"/>
        <v>-0.27852413466701526</v>
      </c>
    </row>
    <row r="280" spans="1:12" x14ac:dyDescent="0.25">
      <c r="A280" s="4" t="s">
        <v>281</v>
      </c>
      <c r="B280" s="4">
        <v>172</v>
      </c>
      <c r="C280">
        <f t="shared" si="24"/>
        <v>0.86</v>
      </c>
      <c r="D280">
        <f t="shared" si="25"/>
        <v>338.4</v>
      </c>
      <c r="E280">
        <v>65.400000000000006</v>
      </c>
      <c r="H280">
        <f t="shared" si="29"/>
        <v>270</v>
      </c>
      <c r="I280">
        <f t="shared" si="26"/>
        <v>0.86</v>
      </c>
      <c r="K280">
        <f t="shared" si="27"/>
        <v>270</v>
      </c>
      <c r="L280" s="2">
        <f t="shared" si="28"/>
        <v>-0.30164577946916737</v>
      </c>
    </row>
    <row r="281" spans="1:12" x14ac:dyDescent="0.25">
      <c r="A281" s="4" t="s">
        <v>282</v>
      </c>
      <c r="B281" s="4">
        <v>174</v>
      </c>
      <c r="C281">
        <f t="shared" si="24"/>
        <v>0.87</v>
      </c>
      <c r="D281">
        <f t="shared" si="25"/>
        <v>338.4</v>
      </c>
      <c r="E281">
        <v>65.400000000000006</v>
      </c>
      <c r="H281">
        <f t="shared" si="29"/>
        <v>271</v>
      </c>
      <c r="I281">
        <f t="shared" si="26"/>
        <v>0.87</v>
      </c>
      <c r="K281">
        <f t="shared" si="27"/>
        <v>271</v>
      </c>
      <c r="L281" s="2">
        <f t="shared" si="28"/>
        <v>-0.27852413466701526</v>
      </c>
    </row>
    <row r="282" spans="1:12" x14ac:dyDescent="0.25">
      <c r="A282" s="4" t="s">
        <v>283</v>
      </c>
      <c r="B282" s="4">
        <v>173</v>
      </c>
      <c r="C282">
        <f t="shared" si="24"/>
        <v>0.86499999999999999</v>
      </c>
      <c r="D282">
        <f t="shared" si="25"/>
        <v>338.1</v>
      </c>
      <c r="E282">
        <v>65.099999999999994</v>
      </c>
      <c r="H282">
        <f t="shared" si="29"/>
        <v>272</v>
      </c>
      <c r="I282">
        <f t="shared" si="26"/>
        <v>0.86499999999999999</v>
      </c>
      <c r="K282">
        <f t="shared" si="27"/>
        <v>272</v>
      </c>
      <c r="L282" s="2">
        <f t="shared" si="28"/>
        <v>-0.29005154410051542</v>
      </c>
    </row>
    <row r="283" spans="1:12" x14ac:dyDescent="0.25">
      <c r="A283" s="4" t="s">
        <v>284</v>
      </c>
      <c r="B283" s="4">
        <v>173</v>
      </c>
      <c r="C283">
        <f t="shared" si="24"/>
        <v>0.86499999999999999</v>
      </c>
      <c r="D283">
        <f t="shared" si="25"/>
        <v>338.1</v>
      </c>
      <c r="E283">
        <v>65.099999999999994</v>
      </c>
      <c r="H283">
        <f t="shared" si="29"/>
        <v>273</v>
      </c>
      <c r="I283">
        <f t="shared" si="26"/>
        <v>0.86499999999999999</v>
      </c>
      <c r="K283">
        <f t="shared" si="27"/>
        <v>273</v>
      </c>
      <c r="L283" s="2">
        <f t="shared" si="28"/>
        <v>-0.29005154410051542</v>
      </c>
    </row>
    <row r="284" spans="1:12" x14ac:dyDescent="0.25">
      <c r="A284" s="4" t="s">
        <v>285</v>
      </c>
      <c r="B284" s="4">
        <v>173</v>
      </c>
      <c r="C284">
        <f t="shared" si="24"/>
        <v>0.86499999999999999</v>
      </c>
      <c r="D284">
        <f t="shared" si="25"/>
        <v>338.1</v>
      </c>
      <c r="E284">
        <v>65.099999999999994</v>
      </c>
      <c r="H284">
        <f t="shared" si="29"/>
        <v>274</v>
      </c>
      <c r="I284">
        <f t="shared" si="26"/>
        <v>0.86499999999999999</v>
      </c>
      <c r="K284">
        <f t="shared" si="27"/>
        <v>274</v>
      </c>
      <c r="L284" s="2">
        <f t="shared" si="28"/>
        <v>-0.29005154410051542</v>
      </c>
    </row>
    <row r="285" spans="1:12" x14ac:dyDescent="0.25">
      <c r="A285" s="4" t="s">
        <v>286</v>
      </c>
      <c r="B285" s="4">
        <v>172</v>
      </c>
      <c r="C285">
        <f t="shared" si="24"/>
        <v>0.86</v>
      </c>
      <c r="D285">
        <f t="shared" si="25"/>
        <v>338</v>
      </c>
      <c r="E285">
        <v>65</v>
      </c>
      <c r="H285">
        <f t="shared" si="29"/>
        <v>275</v>
      </c>
      <c r="I285">
        <f t="shared" si="26"/>
        <v>0.86</v>
      </c>
      <c r="K285">
        <f t="shared" si="27"/>
        <v>275</v>
      </c>
      <c r="L285" s="2">
        <f t="shared" si="28"/>
        <v>-0.30164577946916737</v>
      </c>
    </row>
    <row r="286" spans="1:12" x14ac:dyDescent="0.25">
      <c r="A286" s="4" t="s">
        <v>287</v>
      </c>
      <c r="B286" s="4">
        <v>172</v>
      </c>
      <c r="C286">
        <f t="shared" si="24"/>
        <v>0.86</v>
      </c>
      <c r="D286">
        <f t="shared" si="25"/>
        <v>338</v>
      </c>
      <c r="E286">
        <v>65</v>
      </c>
      <c r="H286">
        <f t="shared" si="29"/>
        <v>276</v>
      </c>
      <c r="I286">
        <f t="shared" si="26"/>
        <v>0.86</v>
      </c>
      <c r="K286">
        <f t="shared" si="27"/>
        <v>276</v>
      </c>
      <c r="L286" s="2">
        <f t="shared" si="28"/>
        <v>-0.30164577946916737</v>
      </c>
    </row>
    <row r="287" spans="1:12" x14ac:dyDescent="0.25">
      <c r="A287" s="4" t="s">
        <v>288</v>
      </c>
      <c r="B287" s="4">
        <v>172</v>
      </c>
      <c r="C287">
        <f t="shared" si="24"/>
        <v>0.86</v>
      </c>
      <c r="D287">
        <f t="shared" si="25"/>
        <v>338</v>
      </c>
      <c r="E287">
        <v>65</v>
      </c>
      <c r="H287">
        <f t="shared" si="29"/>
        <v>277</v>
      </c>
      <c r="I287">
        <f t="shared" si="26"/>
        <v>0.86</v>
      </c>
      <c r="K287">
        <f t="shared" si="27"/>
        <v>277</v>
      </c>
      <c r="L287" s="2">
        <f t="shared" si="28"/>
        <v>-0.30164577946916737</v>
      </c>
    </row>
    <row r="288" spans="1:12" x14ac:dyDescent="0.25">
      <c r="A288" s="4" t="s">
        <v>289</v>
      </c>
      <c r="B288" s="4">
        <v>172</v>
      </c>
      <c r="C288">
        <f t="shared" si="24"/>
        <v>0.86</v>
      </c>
      <c r="D288">
        <f t="shared" si="25"/>
        <v>337.8</v>
      </c>
      <c r="E288">
        <v>64.8</v>
      </c>
      <c r="H288">
        <f t="shared" si="29"/>
        <v>278</v>
      </c>
      <c r="I288">
        <f t="shared" si="26"/>
        <v>0.86</v>
      </c>
      <c r="K288">
        <f t="shared" si="27"/>
        <v>278</v>
      </c>
      <c r="L288" s="2">
        <f t="shared" si="28"/>
        <v>-0.30164577946916737</v>
      </c>
    </row>
    <row r="289" spans="1:12" x14ac:dyDescent="0.25">
      <c r="A289" s="4" t="s">
        <v>290</v>
      </c>
      <c r="B289" s="4">
        <v>172</v>
      </c>
      <c r="C289">
        <f t="shared" si="24"/>
        <v>0.86</v>
      </c>
      <c r="D289">
        <f t="shared" si="25"/>
        <v>337.8</v>
      </c>
      <c r="E289">
        <v>64.8</v>
      </c>
      <c r="H289">
        <f t="shared" si="29"/>
        <v>279</v>
      </c>
      <c r="I289">
        <f t="shared" si="26"/>
        <v>0.86</v>
      </c>
      <c r="K289">
        <f t="shared" si="27"/>
        <v>279</v>
      </c>
      <c r="L289" s="2">
        <f t="shared" si="28"/>
        <v>-0.30164577946916737</v>
      </c>
    </row>
    <row r="290" spans="1:12" x14ac:dyDescent="0.25">
      <c r="A290" s="4" t="s">
        <v>291</v>
      </c>
      <c r="B290" s="4">
        <v>171</v>
      </c>
      <c r="C290">
        <f t="shared" si="24"/>
        <v>0.85499999999999998</v>
      </c>
      <c r="D290">
        <f t="shared" si="25"/>
        <v>337.8</v>
      </c>
      <c r="E290">
        <v>64.8</v>
      </c>
      <c r="H290">
        <f t="shared" si="29"/>
        <v>280</v>
      </c>
      <c r="I290">
        <f t="shared" si="26"/>
        <v>0.85499999999999998</v>
      </c>
      <c r="K290">
        <f t="shared" si="27"/>
        <v>280</v>
      </c>
      <c r="L290" s="2">
        <f t="shared" si="28"/>
        <v>-0.31330762009075375</v>
      </c>
    </row>
    <row r="291" spans="1:12" x14ac:dyDescent="0.25">
      <c r="A291" s="4" t="s">
        <v>292</v>
      </c>
      <c r="B291" s="4">
        <v>171</v>
      </c>
      <c r="C291">
        <f t="shared" si="24"/>
        <v>0.85499999999999998</v>
      </c>
      <c r="D291">
        <f t="shared" si="25"/>
        <v>337.2</v>
      </c>
      <c r="E291">
        <v>64.2</v>
      </c>
      <c r="H291">
        <f t="shared" si="29"/>
        <v>281</v>
      </c>
      <c r="I291">
        <f t="shared" si="26"/>
        <v>0.85499999999999998</v>
      </c>
      <c r="K291">
        <f t="shared" si="27"/>
        <v>281</v>
      </c>
      <c r="L291" s="2">
        <f t="shared" si="28"/>
        <v>-0.31330762009075375</v>
      </c>
    </row>
    <row r="292" spans="1:12" x14ac:dyDescent="0.25">
      <c r="A292" s="4" t="s">
        <v>293</v>
      </c>
      <c r="B292" s="4">
        <v>171</v>
      </c>
      <c r="C292">
        <f t="shared" si="24"/>
        <v>0.85499999999999998</v>
      </c>
      <c r="D292">
        <f t="shared" si="25"/>
        <v>337.2</v>
      </c>
      <c r="E292">
        <v>64.2</v>
      </c>
      <c r="H292">
        <f t="shared" si="29"/>
        <v>282</v>
      </c>
      <c r="I292">
        <f t="shared" si="26"/>
        <v>0.85499999999999998</v>
      </c>
      <c r="K292">
        <f t="shared" si="27"/>
        <v>282</v>
      </c>
      <c r="L292" s="2">
        <f t="shared" si="28"/>
        <v>-0.31330762009075375</v>
      </c>
    </row>
    <row r="293" spans="1:12" x14ac:dyDescent="0.25">
      <c r="A293" s="4" t="s">
        <v>294</v>
      </c>
      <c r="B293" s="4">
        <v>171</v>
      </c>
      <c r="C293">
        <f t="shared" si="24"/>
        <v>0.85499999999999998</v>
      </c>
      <c r="D293">
        <f t="shared" si="25"/>
        <v>337.2</v>
      </c>
      <c r="E293">
        <v>64.2</v>
      </c>
      <c r="H293">
        <f t="shared" si="29"/>
        <v>283</v>
      </c>
      <c r="I293">
        <f t="shared" si="26"/>
        <v>0.85499999999999998</v>
      </c>
      <c r="K293">
        <f t="shared" si="27"/>
        <v>283</v>
      </c>
      <c r="L293" s="2">
        <f t="shared" si="28"/>
        <v>-0.31330762009075375</v>
      </c>
    </row>
    <row r="294" spans="1:12" x14ac:dyDescent="0.25">
      <c r="A294" s="4" t="s">
        <v>295</v>
      </c>
      <c r="B294" s="4">
        <v>170</v>
      </c>
      <c r="C294">
        <f t="shared" si="24"/>
        <v>0.85</v>
      </c>
      <c r="D294">
        <f t="shared" si="25"/>
        <v>336.9</v>
      </c>
      <c r="E294">
        <v>63.9</v>
      </c>
      <c r="H294">
        <f t="shared" si="29"/>
        <v>284</v>
      </c>
      <c r="I294">
        <f t="shared" si="26"/>
        <v>0.85</v>
      </c>
      <c r="K294">
        <f t="shared" si="27"/>
        <v>284</v>
      </c>
      <c r="L294" s="2">
        <f t="shared" si="28"/>
        <v>-0.32503785899554993</v>
      </c>
    </row>
    <row r="295" spans="1:12" x14ac:dyDescent="0.25">
      <c r="A295" s="4" t="s">
        <v>296</v>
      </c>
      <c r="B295" s="4">
        <v>171</v>
      </c>
      <c r="C295">
        <f t="shared" si="24"/>
        <v>0.85499999999999998</v>
      </c>
      <c r="D295">
        <f t="shared" si="25"/>
        <v>336.9</v>
      </c>
      <c r="E295">
        <v>63.9</v>
      </c>
      <c r="H295">
        <f t="shared" si="29"/>
        <v>285</v>
      </c>
      <c r="I295">
        <f t="shared" si="26"/>
        <v>0.85499999999999998</v>
      </c>
      <c r="K295">
        <f t="shared" si="27"/>
        <v>285</v>
      </c>
      <c r="L295" s="2">
        <f t="shared" si="28"/>
        <v>-0.31330762009075375</v>
      </c>
    </row>
    <row r="296" spans="1:12" x14ac:dyDescent="0.25">
      <c r="A296" s="4" t="s">
        <v>297</v>
      </c>
      <c r="B296" s="4">
        <v>169</v>
      </c>
      <c r="C296">
        <f t="shared" si="24"/>
        <v>0.84499999999999997</v>
      </c>
      <c r="D296">
        <f t="shared" si="25"/>
        <v>336.9</v>
      </c>
      <c r="E296">
        <v>63.9</v>
      </c>
      <c r="H296">
        <f t="shared" si="29"/>
        <v>286</v>
      </c>
      <c r="I296">
        <f t="shared" si="26"/>
        <v>0.84499999999999997</v>
      </c>
      <c r="K296">
        <f t="shared" si="27"/>
        <v>286</v>
      </c>
      <c r="L296" s="2">
        <f t="shared" si="28"/>
        <v>-0.33683730324992656</v>
      </c>
    </row>
    <row r="297" spans="1:12" x14ac:dyDescent="0.25">
      <c r="A297" s="4" t="s">
        <v>298</v>
      </c>
      <c r="B297" s="4">
        <v>171</v>
      </c>
      <c r="C297">
        <f t="shared" si="24"/>
        <v>0.85499999999999998</v>
      </c>
      <c r="D297">
        <f t="shared" si="25"/>
        <v>336.9</v>
      </c>
      <c r="E297">
        <v>63.9</v>
      </c>
      <c r="H297">
        <f t="shared" si="29"/>
        <v>287</v>
      </c>
      <c r="I297">
        <f t="shared" si="26"/>
        <v>0.85499999999999998</v>
      </c>
      <c r="K297">
        <f t="shared" si="27"/>
        <v>287</v>
      </c>
      <c r="L297" s="2">
        <f t="shared" si="28"/>
        <v>-0.31330762009075375</v>
      </c>
    </row>
    <row r="298" spans="1:12" x14ac:dyDescent="0.25">
      <c r="A298" s="4" t="s">
        <v>299</v>
      </c>
      <c r="B298" s="4">
        <v>169</v>
      </c>
      <c r="C298">
        <f t="shared" si="24"/>
        <v>0.84499999999999997</v>
      </c>
      <c r="D298">
        <f t="shared" si="25"/>
        <v>336.7</v>
      </c>
      <c r="E298">
        <v>63.7</v>
      </c>
      <c r="H298">
        <f t="shared" si="29"/>
        <v>288</v>
      </c>
      <c r="I298">
        <f t="shared" si="26"/>
        <v>0.84499999999999997</v>
      </c>
      <c r="K298">
        <f t="shared" si="27"/>
        <v>288</v>
      </c>
      <c r="L298" s="2">
        <f t="shared" si="28"/>
        <v>-0.33683730324992656</v>
      </c>
    </row>
    <row r="299" spans="1:12" x14ac:dyDescent="0.25">
      <c r="A299" s="4" t="s">
        <v>300</v>
      </c>
      <c r="B299" s="4">
        <v>169</v>
      </c>
      <c r="C299">
        <f t="shared" si="24"/>
        <v>0.84499999999999997</v>
      </c>
      <c r="D299">
        <f t="shared" si="25"/>
        <v>336.7</v>
      </c>
      <c r="E299">
        <v>63.7</v>
      </c>
      <c r="H299">
        <f t="shared" si="29"/>
        <v>289</v>
      </c>
      <c r="I299">
        <f t="shared" si="26"/>
        <v>0.84499999999999997</v>
      </c>
      <c r="K299">
        <f t="shared" si="27"/>
        <v>289</v>
      </c>
      <c r="L299" s="2">
        <f t="shared" si="28"/>
        <v>-0.33683730324992656</v>
      </c>
    </row>
    <row r="300" spans="1:12" x14ac:dyDescent="0.25">
      <c r="A300" s="4" t="s">
        <v>301</v>
      </c>
      <c r="B300" s="4">
        <v>170</v>
      </c>
      <c r="C300">
        <f t="shared" si="24"/>
        <v>0.85</v>
      </c>
      <c r="D300">
        <f t="shared" si="25"/>
        <v>336.7</v>
      </c>
      <c r="E300">
        <v>63.7</v>
      </c>
      <c r="H300">
        <f t="shared" si="29"/>
        <v>290</v>
      </c>
      <c r="I300">
        <f t="shared" si="26"/>
        <v>0.85</v>
      </c>
      <c r="K300">
        <f t="shared" si="27"/>
        <v>290</v>
      </c>
      <c r="L300" s="2">
        <f t="shared" si="28"/>
        <v>-0.32503785899554993</v>
      </c>
    </row>
    <row r="301" spans="1:12" x14ac:dyDescent="0.25">
      <c r="A301" s="4" t="s">
        <v>302</v>
      </c>
      <c r="B301" s="4">
        <v>170</v>
      </c>
      <c r="C301">
        <f t="shared" si="24"/>
        <v>0.85</v>
      </c>
      <c r="D301">
        <f t="shared" si="25"/>
        <v>336.3</v>
      </c>
      <c r="E301">
        <v>63.3</v>
      </c>
      <c r="H301">
        <f t="shared" si="29"/>
        <v>291</v>
      </c>
      <c r="I301">
        <f t="shared" si="26"/>
        <v>0.85</v>
      </c>
      <c r="K301">
        <f t="shared" si="27"/>
        <v>291</v>
      </c>
      <c r="L301" s="2">
        <f t="shared" si="28"/>
        <v>-0.32503785899554993</v>
      </c>
    </row>
    <row r="302" spans="1:12" x14ac:dyDescent="0.25">
      <c r="A302" s="4" t="s">
        <v>303</v>
      </c>
      <c r="B302" s="4">
        <v>167</v>
      </c>
      <c r="C302">
        <f t="shared" si="24"/>
        <v>0.83499999999999996</v>
      </c>
      <c r="D302">
        <f t="shared" si="25"/>
        <v>336.3</v>
      </c>
      <c r="E302">
        <v>63.3</v>
      </c>
      <c r="H302">
        <f t="shared" si="29"/>
        <v>292</v>
      </c>
      <c r="I302">
        <f t="shared" si="26"/>
        <v>0.83499999999999996</v>
      </c>
      <c r="K302">
        <f t="shared" si="27"/>
        <v>292</v>
      </c>
      <c r="L302" s="2">
        <f t="shared" si="28"/>
        <v>-0.36064710826256319</v>
      </c>
    </row>
    <row r="303" spans="1:12" x14ac:dyDescent="0.25">
      <c r="A303" s="4" t="s">
        <v>304</v>
      </c>
      <c r="B303" s="4">
        <v>168</v>
      </c>
      <c r="C303">
        <f t="shared" si="24"/>
        <v>0.84</v>
      </c>
      <c r="D303">
        <f t="shared" si="25"/>
        <v>336.3</v>
      </c>
      <c r="E303">
        <v>63.3</v>
      </c>
      <c r="H303">
        <f t="shared" si="29"/>
        <v>293</v>
      </c>
      <c r="I303">
        <f t="shared" si="26"/>
        <v>0.84</v>
      </c>
      <c r="K303">
        <f t="shared" si="27"/>
        <v>293</v>
      </c>
      <c r="L303" s="2">
        <f t="shared" si="28"/>
        <v>-0.34870677428955565</v>
      </c>
    </row>
    <row r="304" spans="1:12" x14ac:dyDescent="0.25">
      <c r="A304" s="4" t="s">
        <v>305</v>
      </c>
      <c r="B304" s="4">
        <v>168</v>
      </c>
      <c r="C304">
        <f t="shared" si="24"/>
        <v>0.84</v>
      </c>
      <c r="D304">
        <f t="shared" si="25"/>
        <v>336</v>
      </c>
      <c r="E304">
        <v>63</v>
      </c>
      <c r="H304">
        <f t="shared" si="29"/>
        <v>294</v>
      </c>
      <c r="I304">
        <f t="shared" si="26"/>
        <v>0.84</v>
      </c>
      <c r="K304">
        <f t="shared" si="27"/>
        <v>294</v>
      </c>
      <c r="L304" s="2">
        <f t="shared" si="28"/>
        <v>-0.34870677428955565</v>
      </c>
    </row>
    <row r="305" spans="1:12" x14ac:dyDescent="0.25">
      <c r="A305" s="4" t="s">
        <v>306</v>
      </c>
      <c r="B305" s="4">
        <v>168</v>
      </c>
      <c r="C305">
        <f t="shared" si="24"/>
        <v>0.84</v>
      </c>
      <c r="D305">
        <f t="shared" si="25"/>
        <v>336</v>
      </c>
      <c r="E305">
        <v>63</v>
      </c>
      <c r="H305">
        <f t="shared" si="29"/>
        <v>295</v>
      </c>
      <c r="I305">
        <f t="shared" si="26"/>
        <v>0.84</v>
      </c>
      <c r="K305">
        <f t="shared" si="27"/>
        <v>295</v>
      </c>
      <c r="L305" s="2">
        <f t="shared" si="28"/>
        <v>-0.34870677428955565</v>
      </c>
    </row>
    <row r="306" spans="1:12" x14ac:dyDescent="0.25">
      <c r="A306" s="4" t="s">
        <v>307</v>
      </c>
      <c r="B306" s="4">
        <v>167</v>
      </c>
      <c r="C306">
        <f t="shared" si="24"/>
        <v>0.83499999999999996</v>
      </c>
      <c r="D306">
        <f t="shared" si="25"/>
        <v>336</v>
      </c>
      <c r="E306">
        <v>63</v>
      </c>
      <c r="H306">
        <f t="shared" si="29"/>
        <v>296</v>
      </c>
      <c r="I306">
        <f t="shared" si="26"/>
        <v>0.83499999999999996</v>
      </c>
      <c r="K306">
        <f t="shared" si="27"/>
        <v>296</v>
      </c>
      <c r="L306" s="2">
        <f t="shared" si="28"/>
        <v>-0.36064710826256319</v>
      </c>
    </row>
    <row r="307" spans="1:12" x14ac:dyDescent="0.25">
      <c r="A307" s="4" t="s">
        <v>308</v>
      </c>
      <c r="B307" s="4">
        <v>167</v>
      </c>
      <c r="C307">
        <f t="shared" si="24"/>
        <v>0.83499999999999996</v>
      </c>
      <c r="D307">
        <f t="shared" si="25"/>
        <v>336</v>
      </c>
      <c r="E307">
        <v>63</v>
      </c>
      <c r="H307">
        <f t="shared" si="29"/>
        <v>297</v>
      </c>
      <c r="I307">
        <f t="shared" si="26"/>
        <v>0.83499999999999996</v>
      </c>
      <c r="K307">
        <f t="shared" si="27"/>
        <v>297</v>
      </c>
      <c r="L307" s="2">
        <f t="shared" si="28"/>
        <v>-0.36064710826256319</v>
      </c>
    </row>
    <row r="308" spans="1:12" x14ac:dyDescent="0.25">
      <c r="A308" s="4" t="s">
        <v>309</v>
      </c>
      <c r="B308" s="4">
        <v>167</v>
      </c>
      <c r="C308">
        <f t="shared" si="24"/>
        <v>0.83499999999999996</v>
      </c>
      <c r="D308">
        <f t="shared" si="25"/>
        <v>336</v>
      </c>
      <c r="E308">
        <v>63</v>
      </c>
      <c r="H308">
        <f t="shared" si="29"/>
        <v>298</v>
      </c>
      <c r="I308">
        <f t="shared" si="26"/>
        <v>0.83499999999999996</v>
      </c>
      <c r="K308">
        <f t="shared" si="27"/>
        <v>298</v>
      </c>
      <c r="L308" s="2">
        <f t="shared" si="28"/>
        <v>-0.36064710826256319</v>
      </c>
    </row>
    <row r="309" spans="1:12" x14ac:dyDescent="0.25">
      <c r="A309" s="4" t="s">
        <v>310</v>
      </c>
      <c r="B309" s="4">
        <v>166</v>
      </c>
      <c r="C309">
        <f t="shared" si="24"/>
        <v>0.83</v>
      </c>
      <c r="D309">
        <f t="shared" si="25"/>
        <v>336</v>
      </c>
      <c r="E309">
        <v>63</v>
      </c>
      <c r="H309">
        <f t="shared" si="29"/>
        <v>299</v>
      </c>
      <c r="I309">
        <f t="shared" si="26"/>
        <v>0.83</v>
      </c>
      <c r="K309">
        <f t="shared" si="27"/>
        <v>299</v>
      </c>
      <c r="L309" s="2">
        <f t="shared" si="28"/>
        <v>-0.37265915638298697</v>
      </c>
    </row>
    <row r="310" spans="1:12" x14ac:dyDescent="0.25">
      <c r="A310" s="4" t="s">
        <v>311</v>
      </c>
      <c r="B310" s="4">
        <v>166</v>
      </c>
      <c r="C310">
        <f t="shared" si="24"/>
        <v>0.83</v>
      </c>
      <c r="D310">
        <f t="shared" si="25"/>
        <v>336</v>
      </c>
      <c r="E310">
        <v>63</v>
      </c>
      <c r="H310">
        <f t="shared" si="29"/>
        <v>300</v>
      </c>
      <c r="I310">
        <f t="shared" si="26"/>
        <v>0.83</v>
      </c>
      <c r="K310">
        <f t="shared" si="27"/>
        <v>300</v>
      </c>
      <c r="L310" s="2">
        <f t="shared" si="28"/>
        <v>-0.37265915638298697</v>
      </c>
    </row>
    <row r="311" spans="1:12" x14ac:dyDescent="0.25">
      <c r="A311" s="4" t="s">
        <v>312</v>
      </c>
      <c r="B311" s="4">
        <v>166</v>
      </c>
      <c r="C311">
        <f t="shared" si="24"/>
        <v>0.83</v>
      </c>
      <c r="D311">
        <f t="shared" si="25"/>
        <v>336</v>
      </c>
      <c r="E311">
        <v>63</v>
      </c>
      <c r="H311">
        <f t="shared" si="29"/>
        <v>301</v>
      </c>
      <c r="I311">
        <f t="shared" si="26"/>
        <v>0.83</v>
      </c>
      <c r="K311">
        <f t="shared" si="27"/>
        <v>301</v>
      </c>
      <c r="L311" s="2">
        <f t="shared" si="28"/>
        <v>-0.37265915638298697</v>
      </c>
    </row>
    <row r="312" spans="1:12" x14ac:dyDescent="0.25">
      <c r="A312" s="4" t="s">
        <v>313</v>
      </c>
      <c r="B312" s="4">
        <v>166</v>
      </c>
      <c r="C312">
        <f t="shared" si="24"/>
        <v>0.83</v>
      </c>
      <c r="D312">
        <f t="shared" si="25"/>
        <v>336</v>
      </c>
      <c r="E312">
        <v>63</v>
      </c>
      <c r="H312">
        <f t="shared" si="29"/>
        <v>302</v>
      </c>
      <c r="I312">
        <f t="shared" si="26"/>
        <v>0.83</v>
      </c>
      <c r="K312">
        <f t="shared" si="27"/>
        <v>302</v>
      </c>
      <c r="L312" s="2">
        <f t="shared" si="28"/>
        <v>-0.37265915638298697</v>
      </c>
    </row>
    <row r="313" spans="1:12" x14ac:dyDescent="0.25">
      <c r="A313" s="4" t="s">
        <v>314</v>
      </c>
      <c r="B313" s="4">
        <v>165</v>
      </c>
      <c r="C313">
        <f t="shared" si="24"/>
        <v>0.82499999999999996</v>
      </c>
      <c r="D313">
        <f t="shared" si="25"/>
        <v>336</v>
      </c>
      <c r="E313">
        <v>63</v>
      </c>
      <c r="H313">
        <f t="shared" si="29"/>
        <v>303</v>
      </c>
      <c r="I313">
        <f t="shared" si="26"/>
        <v>0.82499999999999996</v>
      </c>
      <c r="K313">
        <f t="shared" si="27"/>
        <v>303</v>
      </c>
      <c r="L313" s="2">
        <f t="shared" si="28"/>
        <v>-0.38474378529491227</v>
      </c>
    </row>
    <row r="314" spans="1:12" x14ac:dyDescent="0.25">
      <c r="A314" s="4" t="s">
        <v>315</v>
      </c>
      <c r="B314" s="4">
        <v>166</v>
      </c>
      <c r="C314">
        <f t="shared" si="24"/>
        <v>0.83</v>
      </c>
      <c r="D314">
        <f t="shared" si="25"/>
        <v>335.9</v>
      </c>
      <c r="E314">
        <v>62.9</v>
      </c>
      <c r="H314">
        <f t="shared" si="29"/>
        <v>304</v>
      </c>
      <c r="I314">
        <f t="shared" si="26"/>
        <v>0.83</v>
      </c>
      <c r="K314">
        <f t="shared" si="27"/>
        <v>304</v>
      </c>
      <c r="L314" s="2">
        <f t="shared" si="28"/>
        <v>-0.37265915638298697</v>
      </c>
    </row>
    <row r="315" spans="1:12" x14ac:dyDescent="0.25">
      <c r="A315" s="4" t="s">
        <v>316</v>
      </c>
      <c r="B315" s="4">
        <v>166</v>
      </c>
      <c r="C315">
        <f t="shared" si="24"/>
        <v>0.83</v>
      </c>
      <c r="D315">
        <f t="shared" si="25"/>
        <v>335.9</v>
      </c>
      <c r="E315">
        <v>62.9</v>
      </c>
      <c r="H315">
        <f t="shared" si="29"/>
        <v>305</v>
      </c>
      <c r="I315">
        <f t="shared" si="26"/>
        <v>0.83</v>
      </c>
      <c r="K315">
        <f t="shared" si="27"/>
        <v>305</v>
      </c>
      <c r="L315" s="2">
        <f t="shared" si="28"/>
        <v>-0.37265915638298697</v>
      </c>
    </row>
    <row r="316" spans="1:12" x14ac:dyDescent="0.25">
      <c r="A316" s="4" t="s">
        <v>317</v>
      </c>
      <c r="B316" s="4">
        <v>165</v>
      </c>
      <c r="C316">
        <f t="shared" si="24"/>
        <v>0.82499999999999996</v>
      </c>
      <c r="D316">
        <f t="shared" si="25"/>
        <v>335.9</v>
      </c>
      <c r="E316">
        <v>62.9</v>
      </c>
      <c r="H316">
        <f t="shared" si="29"/>
        <v>306</v>
      </c>
      <c r="I316">
        <f t="shared" si="26"/>
        <v>0.82499999999999996</v>
      </c>
      <c r="K316">
        <f t="shared" si="27"/>
        <v>306</v>
      </c>
      <c r="L316" s="2">
        <f t="shared" si="28"/>
        <v>-0.38474378529491227</v>
      </c>
    </row>
    <row r="317" spans="1:12" x14ac:dyDescent="0.25">
      <c r="A317" s="4" t="s">
        <v>318</v>
      </c>
      <c r="B317" s="4">
        <v>165</v>
      </c>
      <c r="C317">
        <f t="shared" si="24"/>
        <v>0.82499999999999996</v>
      </c>
      <c r="D317">
        <f t="shared" si="25"/>
        <v>335.8</v>
      </c>
      <c r="E317">
        <v>62.8</v>
      </c>
      <c r="H317">
        <f t="shared" si="29"/>
        <v>307</v>
      </c>
      <c r="I317">
        <f t="shared" si="26"/>
        <v>0.82499999999999996</v>
      </c>
      <c r="K317">
        <f t="shared" si="27"/>
        <v>307</v>
      </c>
      <c r="L317" s="2">
        <f t="shared" si="28"/>
        <v>-0.38474378529491227</v>
      </c>
    </row>
    <row r="318" spans="1:12" x14ac:dyDescent="0.25">
      <c r="A318" s="4" t="s">
        <v>319</v>
      </c>
      <c r="B318" s="4">
        <v>165</v>
      </c>
      <c r="C318">
        <f t="shared" si="24"/>
        <v>0.82499999999999996</v>
      </c>
      <c r="D318">
        <f t="shared" si="25"/>
        <v>335.8</v>
      </c>
      <c r="E318">
        <v>62.8</v>
      </c>
      <c r="H318">
        <f t="shared" si="29"/>
        <v>308</v>
      </c>
      <c r="I318">
        <f t="shared" si="26"/>
        <v>0.82499999999999996</v>
      </c>
      <c r="K318">
        <f t="shared" si="27"/>
        <v>308</v>
      </c>
      <c r="L318" s="2">
        <f t="shared" si="28"/>
        <v>-0.38474378529491227</v>
      </c>
    </row>
    <row r="319" spans="1:12" x14ac:dyDescent="0.25">
      <c r="A319" s="4" t="s">
        <v>320</v>
      </c>
      <c r="B319" s="4">
        <v>165</v>
      </c>
      <c r="C319">
        <f t="shared" si="24"/>
        <v>0.82499999999999996</v>
      </c>
      <c r="D319">
        <f t="shared" si="25"/>
        <v>335.8</v>
      </c>
      <c r="E319">
        <v>62.8</v>
      </c>
      <c r="H319">
        <f t="shared" si="29"/>
        <v>309</v>
      </c>
      <c r="I319">
        <f t="shared" si="26"/>
        <v>0.82499999999999996</v>
      </c>
      <c r="K319">
        <f t="shared" si="27"/>
        <v>309</v>
      </c>
      <c r="L319" s="2">
        <f t="shared" si="28"/>
        <v>-0.38474378529491227</v>
      </c>
    </row>
    <row r="320" spans="1:12" x14ac:dyDescent="0.25">
      <c r="A320" s="4" t="s">
        <v>321</v>
      </c>
      <c r="B320" s="4">
        <v>164</v>
      </c>
      <c r="C320">
        <f t="shared" si="24"/>
        <v>0.82</v>
      </c>
      <c r="D320">
        <f t="shared" si="25"/>
        <v>335.7</v>
      </c>
      <c r="E320">
        <v>62.7</v>
      </c>
      <c r="H320">
        <f t="shared" si="29"/>
        <v>310</v>
      </c>
      <c r="I320">
        <f t="shared" si="26"/>
        <v>0.82</v>
      </c>
      <c r="K320">
        <f t="shared" si="27"/>
        <v>310</v>
      </c>
      <c r="L320" s="2">
        <f t="shared" si="28"/>
        <v>-0.39690187744767669</v>
      </c>
    </row>
    <row r="321" spans="1:12" x14ac:dyDescent="0.25">
      <c r="A321" s="4" t="s">
        <v>322</v>
      </c>
      <c r="B321" s="4">
        <v>165</v>
      </c>
      <c r="C321">
        <f t="shared" si="24"/>
        <v>0.82499999999999996</v>
      </c>
      <c r="D321">
        <f t="shared" si="25"/>
        <v>335.7</v>
      </c>
      <c r="E321">
        <v>62.7</v>
      </c>
      <c r="H321">
        <f t="shared" si="29"/>
        <v>311</v>
      </c>
      <c r="I321">
        <f t="shared" si="26"/>
        <v>0.82499999999999996</v>
      </c>
      <c r="K321">
        <f t="shared" si="27"/>
        <v>311</v>
      </c>
      <c r="L321" s="2">
        <f t="shared" si="28"/>
        <v>-0.38474378529491227</v>
      </c>
    </row>
    <row r="322" spans="1:12" x14ac:dyDescent="0.25">
      <c r="A322" s="4" t="s">
        <v>323</v>
      </c>
      <c r="B322" s="4">
        <v>164</v>
      </c>
      <c r="C322">
        <f t="shared" si="24"/>
        <v>0.82</v>
      </c>
      <c r="D322">
        <f t="shared" si="25"/>
        <v>335.7</v>
      </c>
      <c r="E322">
        <v>62.7</v>
      </c>
      <c r="H322">
        <f t="shared" si="29"/>
        <v>312</v>
      </c>
      <c r="I322">
        <f t="shared" si="26"/>
        <v>0.82</v>
      </c>
      <c r="K322">
        <f t="shared" si="27"/>
        <v>312</v>
      </c>
      <c r="L322" s="2">
        <f t="shared" si="28"/>
        <v>-0.39690187744767669</v>
      </c>
    </row>
    <row r="323" spans="1:12" x14ac:dyDescent="0.25">
      <c r="A323" s="4" t="s">
        <v>324</v>
      </c>
      <c r="B323" s="4">
        <v>164</v>
      </c>
      <c r="C323">
        <f t="shared" si="24"/>
        <v>0.82</v>
      </c>
      <c r="D323">
        <f t="shared" si="25"/>
        <v>335.2</v>
      </c>
      <c r="E323">
        <v>62.2</v>
      </c>
      <c r="H323">
        <f t="shared" si="29"/>
        <v>313</v>
      </c>
      <c r="I323">
        <f t="shared" si="26"/>
        <v>0.82</v>
      </c>
      <c r="K323">
        <f t="shared" si="27"/>
        <v>313</v>
      </c>
      <c r="L323" s="2">
        <f t="shared" si="28"/>
        <v>-0.39690187744767669</v>
      </c>
    </row>
    <row r="324" spans="1:12" x14ac:dyDescent="0.25">
      <c r="A324" s="4" t="s">
        <v>325</v>
      </c>
      <c r="B324" s="4">
        <v>163</v>
      </c>
      <c r="C324">
        <f t="shared" si="24"/>
        <v>0.81499999999999995</v>
      </c>
      <c r="D324">
        <f t="shared" si="25"/>
        <v>335.2</v>
      </c>
      <c r="E324">
        <v>62.2</v>
      </c>
      <c r="H324">
        <f t="shared" si="29"/>
        <v>314</v>
      </c>
      <c r="I324">
        <f t="shared" si="26"/>
        <v>0.81499999999999995</v>
      </c>
      <c r="K324">
        <f t="shared" si="27"/>
        <v>314</v>
      </c>
      <c r="L324" s="2">
        <f t="shared" si="28"/>
        <v>-0.40913433148254874</v>
      </c>
    </row>
    <row r="325" spans="1:12" x14ac:dyDescent="0.25">
      <c r="A325" s="4" t="s">
        <v>326</v>
      </c>
      <c r="B325" s="4">
        <v>163</v>
      </c>
      <c r="C325">
        <f t="shared" si="24"/>
        <v>0.81499999999999995</v>
      </c>
      <c r="D325">
        <f t="shared" si="25"/>
        <v>335.2</v>
      </c>
      <c r="E325">
        <v>62.2</v>
      </c>
      <c r="H325">
        <f t="shared" si="29"/>
        <v>315</v>
      </c>
      <c r="I325">
        <f t="shared" si="26"/>
        <v>0.81499999999999995</v>
      </c>
      <c r="K325">
        <f t="shared" si="27"/>
        <v>315</v>
      </c>
      <c r="L325" s="2">
        <f t="shared" si="28"/>
        <v>-0.40913433148254874</v>
      </c>
    </row>
    <row r="326" spans="1:12" x14ac:dyDescent="0.25">
      <c r="A326" s="4" t="s">
        <v>327</v>
      </c>
      <c r="B326" s="4">
        <v>165</v>
      </c>
      <c r="C326">
        <f t="shared" si="24"/>
        <v>0.82499999999999996</v>
      </c>
      <c r="D326">
        <f t="shared" si="25"/>
        <v>334.9</v>
      </c>
      <c r="E326">
        <v>61.9</v>
      </c>
      <c r="H326">
        <f t="shared" si="29"/>
        <v>316</v>
      </c>
      <c r="I326">
        <f t="shared" si="26"/>
        <v>0.82499999999999996</v>
      </c>
      <c r="K326">
        <f t="shared" si="27"/>
        <v>316</v>
      </c>
      <c r="L326" s="2">
        <f t="shared" si="28"/>
        <v>-0.38474378529491227</v>
      </c>
    </row>
    <row r="327" spans="1:12" x14ac:dyDescent="0.25">
      <c r="A327" s="4" t="s">
        <v>328</v>
      </c>
      <c r="B327" s="4">
        <v>164</v>
      </c>
      <c r="C327">
        <f t="shared" si="24"/>
        <v>0.82</v>
      </c>
      <c r="D327">
        <f t="shared" si="25"/>
        <v>334.9</v>
      </c>
      <c r="E327">
        <v>61.9</v>
      </c>
      <c r="H327">
        <f t="shared" si="29"/>
        <v>317</v>
      </c>
      <c r="I327">
        <f t="shared" si="26"/>
        <v>0.82</v>
      </c>
      <c r="K327">
        <f t="shared" si="27"/>
        <v>317</v>
      </c>
      <c r="L327" s="2">
        <f t="shared" si="28"/>
        <v>-0.39690187744767669</v>
      </c>
    </row>
    <row r="328" spans="1:12" x14ac:dyDescent="0.25">
      <c r="A328" s="4" t="s">
        <v>329</v>
      </c>
      <c r="B328" s="4">
        <v>164</v>
      </c>
      <c r="C328">
        <f t="shared" si="24"/>
        <v>0.82</v>
      </c>
      <c r="D328">
        <f t="shared" si="25"/>
        <v>334.9</v>
      </c>
      <c r="E328">
        <v>61.9</v>
      </c>
      <c r="H328">
        <f t="shared" si="29"/>
        <v>318</v>
      </c>
      <c r="I328">
        <f t="shared" si="26"/>
        <v>0.82</v>
      </c>
      <c r="K328">
        <f t="shared" si="27"/>
        <v>318</v>
      </c>
      <c r="L328" s="2">
        <f t="shared" si="28"/>
        <v>-0.39690187744767669</v>
      </c>
    </row>
    <row r="329" spans="1:12" x14ac:dyDescent="0.25">
      <c r="A329" s="4" t="s">
        <v>330</v>
      </c>
      <c r="B329" s="4">
        <v>163</v>
      </c>
      <c r="C329">
        <f t="shared" si="24"/>
        <v>0.81499999999999995</v>
      </c>
      <c r="D329">
        <f t="shared" si="25"/>
        <v>334.9</v>
      </c>
      <c r="E329">
        <v>61.9</v>
      </c>
      <c r="H329">
        <f t="shared" si="29"/>
        <v>319</v>
      </c>
      <c r="I329">
        <f t="shared" si="26"/>
        <v>0.81499999999999995</v>
      </c>
      <c r="K329">
        <f t="shared" si="27"/>
        <v>319</v>
      </c>
      <c r="L329" s="2">
        <f t="shared" si="28"/>
        <v>-0.40913433148254874</v>
      </c>
    </row>
    <row r="330" spans="1:12" x14ac:dyDescent="0.25">
      <c r="A330" s="4" t="s">
        <v>331</v>
      </c>
      <c r="B330" s="4">
        <v>163</v>
      </c>
      <c r="C330">
        <f t="shared" si="24"/>
        <v>0.81499999999999995</v>
      </c>
      <c r="D330">
        <f t="shared" si="25"/>
        <v>334.9</v>
      </c>
      <c r="E330">
        <v>61.9</v>
      </c>
      <c r="H330">
        <f t="shared" si="29"/>
        <v>320</v>
      </c>
      <c r="I330">
        <f t="shared" si="26"/>
        <v>0.81499999999999995</v>
      </c>
      <c r="K330">
        <f t="shared" si="27"/>
        <v>320</v>
      </c>
      <c r="L330" s="2">
        <f t="shared" si="28"/>
        <v>-0.40913433148254874</v>
      </c>
    </row>
    <row r="331" spans="1:12" x14ac:dyDescent="0.25">
      <c r="A331" s="4" t="s">
        <v>332</v>
      </c>
      <c r="B331" s="4">
        <v>164</v>
      </c>
      <c r="C331">
        <f t="shared" ref="C331:C394" si="30">B331/200</f>
        <v>0.82</v>
      </c>
      <c r="D331">
        <f t="shared" ref="D331:D394" si="31">273+E331</f>
        <v>334.9</v>
      </c>
      <c r="E331">
        <v>61.9</v>
      </c>
      <c r="H331">
        <f t="shared" si="29"/>
        <v>321</v>
      </c>
      <c r="I331">
        <f t="shared" ref="I331:I394" si="32">C331</f>
        <v>0.82</v>
      </c>
      <c r="K331">
        <f t="shared" ref="K331:K394" si="33">H331</f>
        <v>321</v>
      </c>
      <c r="L331" s="2">
        <f t="shared" ref="L331:L394" si="34">LN(I331*I331)</f>
        <v>-0.39690187744767669</v>
      </c>
    </row>
    <row r="332" spans="1:12" x14ac:dyDescent="0.25">
      <c r="A332" s="4" t="s">
        <v>333</v>
      </c>
      <c r="B332" s="4">
        <v>163</v>
      </c>
      <c r="C332">
        <f t="shared" si="30"/>
        <v>0.81499999999999995</v>
      </c>
      <c r="D332">
        <f t="shared" si="31"/>
        <v>334.9</v>
      </c>
      <c r="E332">
        <v>61.9</v>
      </c>
      <c r="H332">
        <f t="shared" ref="H332:H395" si="35">H331+1</f>
        <v>322</v>
      </c>
      <c r="I332">
        <f t="shared" si="32"/>
        <v>0.81499999999999995</v>
      </c>
      <c r="K332">
        <f t="shared" si="33"/>
        <v>322</v>
      </c>
      <c r="L332" s="2">
        <f t="shared" si="34"/>
        <v>-0.40913433148254874</v>
      </c>
    </row>
    <row r="333" spans="1:12" x14ac:dyDescent="0.25">
      <c r="A333" s="4" t="s">
        <v>334</v>
      </c>
      <c r="B333" s="4">
        <v>163</v>
      </c>
      <c r="C333">
        <f t="shared" si="30"/>
        <v>0.81499999999999995</v>
      </c>
      <c r="D333">
        <f t="shared" si="31"/>
        <v>334.8</v>
      </c>
      <c r="E333">
        <v>61.8</v>
      </c>
      <c r="H333">
        <f t="shared" si="35"/>
        <v>323</v>
      </c>
      <c r="I333">
        <f t="shared" si="32"/>
        <v>0.81499999999999995</v>
      </c>
      <c r="K333">
        <f t="shared" si="33"/>
        <v>323</v>
      </c>
      <c r="L333" s="2">
        <f t="shared" si="34"/>
        <v>-0.40913433148254874</v>
      </c>
    </row>
    <row r="334" spans="1:12" x14ac:dyDescent="0.25">
      <c r="A334" s="4" t="s">
        <v>335</v>
      </c>
      <c r="B334" s="4">
        <v>162</v>
      </c>
      <c r="C334">
        <f t="shared" si="30"/>
        <v>0.81</v>
      </c>
      <c r="D334">
        <f t="shared" si="31"/>
        <v>334.8</v>
      </c>
      <c r="E334">
        <v>61.8</v>
      </c>
      <c r="H334">
        <f t="shared" si="35"/>
        <v>324</v>
      </c>
      <c r="I334">
        <f t="shared" si="32"/>
        <v>0.81</v>
      </c>
      <c r="K334">
        <f t="shared" si="33"/>
        <v>324</v>
      </c>
      <c r="L334" s="2">
        <f t="shared" si="34"/>
        <v>-0.42144206263130501</v>
      </c>
    </row>
    <row r="335" spans="1:12" x14ac:dyDescent="0.25">
      <c r="A335" s="4" t="s">
        <v>336</v>
      </c>
      <c r="B335" s="4">
        <v>164</v>
      </c>
      <c r="C335">
        <f t="shared" si="30"/>
        <v>0.82</v>
      </c>
      <c r="D335">
        <f t="shared" si="31"/>
        <v>334.8</v>
      </c>
      <c r="E335">
        <v>61.8</v>
      </c>
      <c r="H335">
        <f t="shared" si="35"/>
        <v>325</v>
      </c>
      <c r="I335">
        <f t="shared" si="32"/>
        <v>0.82</v>
      </c>
      <c r="K335">
        <f t="shared" si="33"/>
        <v>325</v>
      </c>
      <c r="L335" s="2">
        <f t="shared" si="34"/>
        <v>-0.39690187744767669</v>
      </c>
    </row>
    <row r="336" spans="1:12" x14ac:dyDescent="0.25">
      <c r="A336" s="4" t="s">
        <v>337</v>
      </c>
      <c r="B336" s="4">
        <v>163</v>
      </c>
      <c r="C336">
        <f t="shared" si="30"/>
        <v>0.81499999999999995</v>
      </c>
      <c r="D336">
        <f t="shared" si="31"/>
        <v>334.7</v>
      </c>
      <c r="E336">
        <v>61.7</v>
      </c>
      <c r="H336">
        <f t="shared" si="35"/>
        <v>326</v>
      </c>
      <c r="I336">
        <f t="shared" si="32"/>
        <v>0.81499999999999995</v>
      </c>
      <c r="K336">
        <f t="shared" si="33"/>
        <v>326</v>
      </c>
      <c r="L336" s="2">
        <f t="shared" si="34"/>
        <v>-0.40913433148254874</v>
      </c>
    </row>
    <row r="337" spans="1:12" x14ac:dyDescent="0.25">
      <c r="A337" s="4" t="s">
        <v>338</v>
      </c>
      <c r="B337" s="4">
        <v>163</v>
      </c>
      <c r="C337">
        <f t="shared" si="30"/>
        <v>0.81499999999999995</v>
      </c>
      <c r="D337">
        <f t="shared" si="31"/>
        <v>334.7</v>
      </c>
      <c r="E337">
        <v>61.7</v>
      </c>
      <c r="H337">
        <f t="shared" si="35"/>
        <v>327</v>
      </c>
      <c r="I337">
        <f t="shared" si="32"/>
        <v>0.81499999999999995</v>
      </c>
      <c r="K337">
        <f t="shared" si="33"/>
        <v>327</v>
      </c>
      <c r="L337" s="2">
        <f t="shared" si="34"/>
        <v>-0.40913433148254874</v>
      </c>
    </row>
    <row r="338" spans="1:12" x14ac:dyDescent="0.25">
      <c r="A338" s="4" t="s">
        <v>339</v>
      </c>
      <c r="B338" s="4">
        <v>162</v>
      </c>
      <c r="C338">
        <f t="shared" si="30"/>
        <v>0.81</v>
      </c>
      <c r="D338">
        <f t="shared" si="31"/>
        <v>334.7</v>
      </c>
      <c r="E338">
        <v>61.7</v>
      </c>
      <c r="H338">
        <f t="shared" si="35"/>
        <v>328</v>
      </c>
      <c r="I338">
        <f t="shared" si="32"/>
        <v>0.81</v>
      </c>
      <c r="K338">
        <f t="shared" si="33"/>
        <v>328</v>
      </c>
      <c r="L338" s="2">
        <f t="shared" si="34"/>
        <v>-0.42144206263130501</v>
      </c>
    </row>
    <row r="339" spans="1:12" x14ac:dyDescent="0.25">
      <c r="A339" s="4" t="s">
        <v>340</v>
      </c>
      <c r="B339" s="4">
        <v>162</v>
      </c>
      <c r="C339">
        <f t="shared" si="30"/>
        <v>0.81</v>
      </c>
      <c r="D339">
        <f t="shared" si="31"/>
        <v>334.5</v>
      </c>
      <c r="E339">
        <v>61.5</v>
      </c>
      <c r="H339">
        <f t="shared" si="35"/>
        <v>329</v>
      </c>
      <c r="I339">
        <f t="shared" si="32"/>
        <v>0.81</v>
      </c>
      <c r="K339">
        <f t="shared" si="33"/>
        <v>329</v>
      </c>
      <c r="L339" s="2">
        <f t="shared" si="34"/>
        <v>-0.42144206263130501</v>
      </c>
    </row>
    <row r="340" spans="1:12" x14ac:dyDescent="0.25">
      <c r="A340" s="4" t="s">
        <v>341</v>
      </c>
      <c r="B340" s="4">
        <v>161</v>
      </c>
      <c r="C340">
        <f t="shared" si="30"/>
        <v>0.80500000000000005</v>
      </c>
      <c r="D340">
        <f t="shared" si="31"/>
        <v>334.5</v>
      </c>
      <c r="E340">
        <v>61.5</v>
      </c>
      <c r="H340">
        <f t="shared" si="35"/>
        <v>330</v>
      </c>
      <c r="I340">
        <f t="shared" si="32"/>
        <v>0.80500000000000005</v>
      </c>
      <c r="K340">
        <f t="shared" si="33"/>
        <v>330</v>
      </c>
      <c r="L340" s="2">
        <f t="shared" si="34"/>
        <v>-0.43382600312714725</v>
      </c>
    </row>
    <row r="341" spans="1:12" x14ac:dyDescent="0.25">
      <c r="A341" s="4" t="s">
        <v>342</v>
      </c>
      <c r="B341" s="4">
        <v>161</v>
      </c>
      <c r="C341">
        <f t="shared" si="30"/>
        <v>0.80500000000000005</v>
      </c>
      <c r="D341">
        <f t="shared" si="31"/>
        <v>334.5</v>
      </c>
      <c r="E341">
        <v>61.5</v>
      </c>
      <c r="H341">
        <f t="shared" si="35"/>
        <v>331</v>
      </c>
      <c r="I341">
        <f t="shared" si="32"/>
        <v>0.80500000000000005</v>
      </c>
      <c r="K341">
        <f t="shared" si="33"/>
        <v>331</v>
      </c>
      <c r="L341" s="2">
        <f t="shared" si="34"/>
        <v>-0.43382600312714725</v>
      </c>
    </row>
    <row r="342" spans="1:12" x14ac:dyDescent="0.25">
      <c r="A342" s="4" t="s">
        <v>343</v>
      </c>
      <c r="B342" s="4">
        <v>162</v>
      </c>
      <c r="C342">
        <f t="shared" si="30"/>
        <v>0.81</v>
      </c>
      <c r="D342">
        <f t="shared" si="31"/>
        <v>334.3</v>
      </c>
      <c r="E342">
        <v>61.3</v>
      </c>
      <c r="H342">
        <f t="shared" si="35"/>
        <v>332</v>
      </c>
      <c r="I342">
        <f t="shared" si="32"/>
        <v>0.81</v>
      </c>
      <c r="K342">
        <f t="shared" si="33"/>
        <v>332</v>
      </c>
      <c r="L342" s="2">
        <f t="shared" si="34"/>
        <v>-0.42144206263130501</v>
      </c>
    </row>
    <row r="343" spans="1:12" x14ac:dyDescent="0.25">
      <c r="A343" s="4" t="s">
        <v>344</v>
      </c>
      <c r="B343" s="4">
        <v>162</v>
      </c>
      <c r="C343">
        <f t="shared" si="30"/>
        <v>0.81</v>
      </c>
      <c r="D343">
        <f t="shared" si="31"/>
        <v>334.3</v>
      </c>
      <c r="E343">
        <v>61.3</v>
      </c>
      <c r="H343">
        <f t="shared" si="35"/>
        <v>333</v>
      </c>
      <c r="I343">
        <f t="shared" si="32"/>
        <v>0.81</v>
      </c>
      <c r="K343">
        <f t="shared" si="33"/>
        <v>333</v>
      </c>
      <c r="L343" s="2">
        <f t="shared" si="34"/>
        <v>-0.42144206263130501</v>
      </c>
    </row>
    <row r="344" spans="1:12" x14ac:dyDescent="0.25">
      <c r="A344" s="4" t="s">
        <v>345</v>
      </c>
      <c r="B344" s="4">
        <v>161</v>
      </c>
      <c r="C344">
        <f t="shared" si="30"/>
        <v>0.80500000000000005</v>
      </c>
      <c r="D344">
        <f t="shared" si="31"/>
        <v>334.3</v>
      </c>
      <c r="E344">
        <v>61.3</v>
      </c>
      <c r="H344">
        <f t="shared" si="35"/>
        <v>334</v>
      </c>
      <c r="I344">
        <f t="shared" si="32"/>
        <v>0.80500000000000005</v>
      </c>
      <c r="K344">
        <f t="shared" si="33"/>
        <v>334</v>
      </c>
      <c r="L344" s="2">
        <f t="shared" si="34"/>
        <v>-0.43382600312714725</v>
      </c>
    </row>
    <row r="345" spans="1:12" x14ac:dyDescent="0.25">
      <c r="A345" s="4" t="s">
        <v>346</v>
      </c>
      <c r="B345" s="4">
        <v>161</v>
      </c>
      <c r="C345">
        <f t="shared" si="30"/>
        <v>0.80500000000000005</v>
      </c>
      <c r="D345">
        <f t="shared" si="31"/>
        <v>334.3</v>
      </c>
      <c r="E345">
        <v>61.3</v>
      </c>
      <c r="H345">
        <f t="shared" si="35"/>
        <v>335</v>
      </c>
      <c r="I345">
        <f t="shared" si="32"/>
        <v>0.80500000000000005</v>
      </c>
      <c r="K345">
        <f t="shared" si="33"/>
        <v>335</v>
      </c>
      <c r="L345" s="2">
        <f t="shared" si="34"/>
        <v>-0.43382600312714725</v>
      </c>
    </row>
    <row r="346" spans="1:12" x14ac:dyDescent="0.25">
      <c r="A346" s="4" t="s">
        <v>347</v>
      </c>
      <c r="B346" s="4">
        <v>161</v>
      </c>
      <c r="C346">
        <f t="shared" si="30"/>
        <v>0.80500000000000005</v>
      </c>
      <c r="D346">
        <f t="shared" si="31"/>
        <v>334.1</v>
      </c>
      <c r="E346">
        <v>61.1</v>
      </c>
      <c r="H346">
        <f t="shared" si="35"/>
        <v>336</v>
      </c>
      <c r="I346">
        <f t="shared" si="32"/>
        <v>0.80500000000000005</v>
      </c>
      <c r="K346">
        <f t="shared" si="33"/>
        <v>336</v>
      </c>
      <c r="L346" s="2">
        <f t="shared" si="34"/>
        <v>-0.43382600312714725</v>
      </c>
    </row>
    <row r="347" spans="1:12" x14ac:dyDescent="0.25">
      <c r="A347" s="4" t="s">
        <v>348</v>
      </c>
      <c r="B347" s="4">
        <v>160</v>
      </c>
      <c r="C347">
        <f t="shared" si="30"/>
        <v>0.8</v>
      </c>
      <c r="D347">
        <f t="shared" si="31"/>
        <v>334.1</v>
      </c>
      <c r="E347">
        <v>61.1</v>
      </c>
      <c r="H347">
        <f t="shared" si="35"/>
        <v>337</v>
      </c>
      <c r="I347">
        <f t="shared" si="32"/>
        <v>0.8</v>
      </c>
      <c r="K347">
        <f t="shared" si="33"/>
        <v>337</v>
      </c>
      <c r="L347" s="2">
        <f t="shared" si="34"/>
        <v>-0.44628710262841931</v>
      </c>
    </row>
    <row r="348" spans="1:12" x14ac:dyDescent="0.25">
      <c r="A348" s="4" t="s">
        <v>349</v>
      </c>
      <c r="B348" s="4">
        <v>160</v>
      </c>
      <c r="C348">
        <f t="shared" si="30"/>
        <v>0.8</v>
      </c>
      <c r="D348">
        <f t="shared" si="31"/>
        <v>334.1</v>
      </c>
      <c r="E348">
        <v>61.1</v>
      </c>
      <c r="H348">
        <f t="shared" si="35"/>
        <v>338</v>
      </c>
      <c r="I348">
        <f t="shared" si="32"/>
        <v>0.8</v>
      </c>
      <c r="K348">
        <f t="shared" si="33"/>
        <v>338</v>
      </c>
      <c r="L348" s="2">
        <f t="shared" si="34"/>
        <v>-0.44628710262841931</v>
      </c>
    </row>
    <row r="349" spans="1:12" x14ac:dyDescent="0.25">
      <c r="A349" s="4" t="s">
        <v>350</v>
      </c>
      <c r="B349" s="4">
        <v>161</v>
      </c>
      <c r="C349">
        <f t="shared" si="30"/>
        <v>0.80500000000000005</v>
      </c>
      <c r="D349">
        <f t="shared" si="31"/>
        <v>333.9</v>
      </c>
      <c r="E349">
        <v>60.9</v>
      </c>
      <c r="H349">
        <f t="shared" si="35"/>
        <v>339</v>
      </c>
      <c r="I349">
        <f t="shared" si="32"/>
        <v>0.80500000000000005</v>
      </c>
      <c r="K349">
        <f t="shared" si="33"/>
        <v>339</v>
      </c>
      <c r="L349" s="2">
        <f t="shared" si="34"/>
        <v>-0.43382600312714725</v>
      </c>
    </row>
    <row r="350" spans="1:12" x14ac:dyDescent="0.25">
      <c r="A350" s="4" t="s">
        <v>351</v>
      </c>
      <c r="B350" s="4">
        <v>161</v>
      </c>
      <c r="C350">
        <f t="shared" si="30"/>
        <v>0.80500000000000005</v>
      </c>
      <c r="D350">
        <f t="shared" si="31"/>
        <v>333.9</v>
      </c>
      <c r="E350">
        <v>60.9</v>
      </c>
      <c r="H350">
        <f t="shared" si="35"/>
        <v>340</v>
      </c>
      <c r="I350">
        <f t="shared" si="32"/>
        <v>0.80500000000000005</v>
      </c>
      <c r="K350">
        <f t="shared" si="33"/>
        <v>340</v>
      </c>
      <c r="L350" s="2">
        <f t="shared" si="34"/>
        <v>-0.43382600312714725</v>
      </c>
    </row>
    <row r="351" spans="1:12" x14ac:dyDescent="0.25">
      <c r="A351" s="4" t="s">
        <v>352</v>
      </c>
      <c r="B351" s="4">
        <v>160</v>
      </c>
      <c r="C351">
        <f t="shared" si="30"/>
        <v>0.8</v>
      </c>
      <c r="D351">
        <f t="shared" si="31"/>
        <v>333.9</v>
      </c>
      <c r="E351">
        <v>60.9</v>
      </c>
      <c r="H351">
        <f t="shared" si="35"/>
        <v>341</v>
      </c>
      <c r="I351">
        <f t="shared" si="32"/>
        <v>0.8</v>
      </c>
      <c r="K351">
        <f t="shared" si="33"/>
        <v>341</v>
      </c>
      <c r="L351" s="2">
        <f t="shared" si="34"/>
        <v>-0.44628710262841931</v>
      </c>
    </row>
    <row r="352" spans="1:12" x14ac:dyDescent="0.25">
      <c r="A352" s="4" t="s">
        <v>353</v>
      </c>
      <c r="B352" s="4">
        <v>161</v>
      </c>
      <c r="C352">
        <f t="shared" si="30"/>
        <v>0.80500000000000005</v>
      </c>
      <c r="D352">
        <f t="shared" si="31"/>
        <v>333.9</v>
      </c>
      <c r="E352">
        <v>60.9</v>
      </c>
      <c r="H352">
        <f t="shared" si="35"/>
        <v>342</v>
      </c>
      <c r="I352">
        <f t="shared" si="32"/>
        <v>0.80500000000000005</v>
      </c>
      <c r="K352">
        <f t="shared" si="33"/>
        <v>342</v>
      </c>
      <c r="L352" s="2">
        <f t="shared" si="34"/>
        <v>-0.43382600312714725</v>
      </c>
    </row>
    <row r="353" spans="1:12" x14ac:dyDescent="0.25">
      <c r="A353" s="4" t="s">
        <v>354</v>
      </c>
      <c r="B353" s="4">
        <v>161</v>
      </c>
      <c r="C353">
        <f t="shared" si="30"/>
        <v>0.80500000000000005</v>
      </c>
      <c r="D353">
        <f t="shared" si="31"/>
        <v>333.9</v>
      </c>
      <c r="E353">
        <v>60.9</v>
      </c>
      <c r="H353">
        <f t="shared" si="35"/>
        <v>343</v>
      </c>
      <c r="I353">
        <f t="shared" si="32"/>
        <v>0.80500000000000005</v>
      </c>
      <c r="K353">
        <f t="shared" si="33"/>
        <v>343</v>
      </c>
      <c r="L353" s="2">
        <f t="shared" si="34"/>
        <v>-0.43382600312714725</v>
      </c>
    </row>
    <row r="354" spans="1:12" x14ac:dyDescent="0.25">
      <c r="A354" s="4" t="s">
        <v>355</v>
      </c>
      <c r="B354" s="4">
        <v>160</v>
      </c>
      <c r="C354">
        <f t="shared" si="30"/>
        <v>0.8</v>
      </c>
      <c r="D354">
        <f t="shared" si="31"/>
        <v>333.9</v>
      </c>
      <c r="E354">
        <v>60.9</v>
      </c>
      <c r="H354">
        <f t="shared" si="35"/>
        <v>344</v>
      </c>
      <c r="I354">
        <f t="shared" si="32"/>
        <v>0.8</v>
      </c>
      <c r="K354">
        <f t="shared" si="33"/>
        <v>344</v>
      </c>
      <c r="L354" s="2">
        <f t="shared" si="34"/>
        <v>-0.44628710262841931</v>
      </c>
    </row>
    <row r="355" spans="1:12" x14ac:dyDescent="0.25">
      <c r="A355" s="4" t="s">
        <v>356</v>
      </c>
      <c r="B355" s="4">
        <v>159</v>
      </c>
      <c r="C355">
        <f t="shared" si="30"/>
        <v>0.79500000000000004</v>
      </c>
      <c r="D355">
        <f t="shared" si="31"/>
        <v>333.7</v>
      </c>
      <c r="E355">
        <v>60.7</v>
      </c>
      <c r="H355">
        <f t="shared" si="35"/>
        <v>345</v>
      </c>
      <c r="I355">
        <f t="shared" si="32"/>
        <v>0.79500000000000004</v>
      </c>
      <c r="K355">
        <f t="shared" si="33"/>
        <v>345</v>
      </c>
      <c r="L355" s="2">
        <f t="shared" si="34"/>
        <v>-0.45882632865561024</v>
      </c>
    </row>
    <row r="356" spans="1:12" x14ac:dyDescent="0.25">
      <c r="A356" s="4" t="s">
        <v>357</v>
      </c>
      <c r="B356" s="4">
        <v>160</v>
      </c>
      <c r="C356">
        <f t="shared" si="30"/>
        <v>0.8</v>
      </c>
      <c r="D356">
        <f t="shared" si="31"/>
        <v>333.7</v>
      </c>
      <c r="E356">
        <v>60.7</v>
      </c>
      <c r="H356">
        <f t="shared" si="35"/>
        <v>346</v>
      </c>
      <c r="I356">
        <f t="shared" si="32"/>
        <v>0.8</v>
      </c>
      <c r="K356">
        <f t="shared" si="33"/>
        <v>346</v>
      </c>
      <c r="L356" s="2">
        <f t="shared" si="34"/>
        <v>-0.44628710262841931</v>
      </c>
    </row>
    <row r="357" spans="1:12" x14ac:dyDescent="0.25">
      <c r="A357" s="4" t="s">
        <v>358</v>
      </c>
      <c r="B357" s="4">
        <v>159</v>
      </c>
      <c r="C357">
        <f t="shared" si="30"/>
        <v>0.79500000000000004</v>
      </c>
      <c r="D357">
        <f t="shared" si="31"/>
        <v>333.7</v>
      </c>
      <c r="E357">
        <v>60.7</v>
      </c>
      <c r="H357">
        <f t="shared" si="35"/>
        <v>347</v>
      </c>
      <c r="I357">
        <f t="shared" si="32"/>
        <v>0.79500000000000004</v>
      </c>
      <c r="K357">
        <f t="shared" si="33"/>
        <v>347</v>
      </c>
      <c r="L357" s="2">
        <f t="shared" si="34"/>
        <v>-0.45882632865561024</v>
      </c>
    </row>
    <row r="358" spans="1:12" x14ac:dyDescent="0.25">
      <c r="A358" s="4" t="s">
        <v>359</v>
      </c>
      <c r="B358" s="4">
        <v>160</v>
      </c>
      <c r="C358">
        <f t="shared" si="30"/>
        <v>0.8</v>
      </c>
      <c r="D358">
        <f t="shared" si="31"/>
        <v>333.6</v>
      </c>
      <c r="E358">
        <v>60.6</v>
      </c>
      <c r="H358">
        <f t="shared" si="35"/>
        <v>348</v>
      </c>
      <c r="I358">
        <f t="shared" si="32"/>
        <v>0.8</v>
      </c>
      <c r="K358">
        <f t="shared" si="33"/>
        <v>348</v>
      </c>
      <c r="L358" s="2">
        <f t="shared" si="34"/>
        <v>-0.44628710262841931</v>
      </c>
    </row>
    <row r="359" spans="1:12" x14ac:dyDescent="0.25">
      <c r="A359" s="4" t="s">
        <v>360</v>
      </c>
      <c r="B359" s="4">
        <v>159</v>
      </c>
      <c r="C359">
        <f t="shared" si="30"/>
        <v>0.79500000000000004</v>
      </c>
      <c r="D359">
        <f t="shared" si="31"/>
        <v>333.6</v>
      </c>
      <c r="E359">
        <v>60.6</v>
      </c>
      <c r="H359">
        <f t="shared" si="35"/>
        <v>349</v>
      </c>
      <c r="I359">
        <f t="shared" si="32"/>
        <v>0.79500000000000004</v>
      </c>
      <c r="K359">
        <f t="shared" si="33"/>
        <v>349</v>
      </c>
      <c r="L359" s="2">
        <f t="shared" si="34"/>
        <v>-0.45882632865561024</v>
      </c>
    </row>
    <row r="360" spans="1:12" x14ac:dyDescent="0.25">
      <c r="A360" s="4" t="s">
        <v>361</v>
      </c>
      <c r="B360" s="4">
        <v>159</v>
      </c>
      <c r="C360">
        <f t="shared" si="30"/>
        <v>0.79500000000000004</v>
      </c>
      <c r="D360">
        <f t="shared" si="31"/>
        <v>333.6</v>
      </c>
      <c r="E360">
        <v>60.6</v>
      </c>
      <c r="H360">
        <f t="shared" si="35"/>
        <v>350</v>
      </c>
      <c r="I360">
        <f t="shared" si="32"/>
        <v>0.79500000000000004</v>
      </c>
      <c r="K360">
        <f t="shared" si="33"/>
        <v>350</v>
      </c>
      <c r="L360" s="2">
        <f t="shared" si="34"/>
        <v>-0.45882632865561024</v>
      </c>
    </row>
    <row r="361" spans="1:12" x14ac:dyDescent="0.25">
      <c r="A361" s="4" t="s">
        <v>362</v>
      </c>
      <c r="B361" s="4">
        <v>158</v>
      </c>
      <c r="C361">
        <f t="shared" si="30"/>
        <v>0.79</v>
      </c>
      <c r="D361">
        <f t="shared" si="31"/>
        <v>333.6</v>
      </c>
      <c r="E361">
        <v>60.6</v>
      </c>
      <c r="H361">
        <f t="shared" si="35"/>
        <v>351</v>
      </c>
      <c r="I361">
        <f t="shared" si="32"/>
        <v>0.79</v>
      </c>
      <c r="K361">
        <f t="shared" si="33"/>
        <v>351</v>
      </c>
      <c r="L361" s="2">
        <f t="shared" si="34"/>
        <v>-0.47144466704213961</v>
      </c>
    </row>
    <row r="362" spans="1:12" x14ac:dyDescent="0.25">
      <c r="A362" s="4" t="s">
        <v>363</v>
      </c>
      <c r="B362" s="4">
        <v>158</v>
      </c>
      <c r="C362">
        <f t="shared" si="30"/>
        <v>0.79</v>
      </c>
      <c r="D362">
        <f t="shared" si="31"/>
        <v>333.4</v>
      </c>
      <c r="E362">
        <v>60.4</v>
      </c>
      <c r="H362">
        <f t="shared" si="35"/>
        <v>352</v>
      </c>
      <c r="I362">
        <f t="shared" si="32"/>
        <v>0.79</v>
      </c>
      <c r="K362">
        <f t="shared" si="33"/>
        <v>352</v>
      </c>
      <c r="L362" s="2">
        <f t="shared" si="34"/>
        <v>-0.47144466704213961</v>
      </c>
    </row>
    <row r="363" spans="1:12" x14ac:dyDescent="0.25">
      <c r="A363" s="4" t="s">
        <v>364</v>
      </c>
      <c r="B363" s="4">
        <v>158</v>
      </c>
      <c r="C363">
        <f t="shared" si="30"/>
        <v>0.79</v>
      </c>
      <c r="D363">
        <f t="shared" si="31"/>
        <v>333.4</v>
      </c>
      <c r="E363">
        <v>60.4</v>
      </c>
      <c r="H363">
        <f t="shared" si="35"/>
        <v>353</v>
      </c>
      <c r="I363">
        <f t="shared" si="32"/>
        <v>0.79</v>
      </c>
      <c r="K363">
        <f t="shared" si="33"/>
        <v>353</v>
      </c>
      <c r="L363" s="2">
        <f t="shared" si="34"/>
        <v>-0.47144466704213961</v>
      </c>
    </row>
    <row r="364" spans="1:12" x14ac:dyDescent="0.25">
      <c r="A364" s="4" t="s">
        <v>365</v>
      </c>
      <c r="B364" s="4">
        <v>158</v>
      </c>
      <c r="C364">
        <f t="shared" si="30"/>
        <v>0.79</v>
      </c>
      <c r="D364">
        <f t="shared" si="31"/>
        <v>333.4</v>
      </c>
      <c r="E364">
        <v>60.4</v>
      </c>
      <c r="H364">
        <f t="shared" si="35"/>
        <v>354</v>
      </c>
      <c r="I364">
        <f t="shared" si="32"/>
        <v>0.79</v>
      </c>
      <c r="K364">
        <f t="shared" si="33"/>
        <v>354</v>
      </c>
      <c r="L364" s="2">
        <f t="shared" si="34"/>
        <v>-0.47144466704213961</v>
      </c>
    </row>
    <row r="365" spans="1:12" x14ac:dyDescent="0.25">
      <c r="A365" s="4" t="s">
        <v>366</v>
      </c>
      <c r="B365" s="4">
        <v>158</v>
      </c>
      <c r="C365">
        <f t="shared" si="30"/>
        <v>0.79</v>
      </c>
      <c r="D365">
        <f t="shared" si="31"/>
        <v>333.2</v>
      </c>
      <c r="E365">
        <v>60.2</v>
      </c>
      <c r="H365">
        <f t="shared" si="35"/>
        <v>355</v>
      </c>
      <c r="I365">
        <f t="shared" si="32"/>
        <v>0.79</v>
      </c>
      <c r="K365">
        <f t="shared" si="33"/>
        <v>355</v>
      </c>
      <c r="L365" s="2">
        <f t="shared" si="34"/>
        <v>-0.47144466704213961</v>
      </c>
    </row>
    <row r="366" spans="1:12" x14ac:dyDescent="0.25">
      <c r="A366" s="4" t="s">
        <v>367</v>
      </c>
      <c r="B366" s="4">
        <v>158</v>
      </c>
      <c r="C366">
        <f t="shared" si="30"/>
        <v>0.79</v>
      </c>
      <c r="D366">
        <f t="shared" si="31"/>
        <v>333.2</v>
      </c>
      <c r="E366">
        <v>60.2</v>
      </c>
      <c r="H366">
        <f t="shared" si="35"/>
        <v>356</v>
      </c>
      <c r="I366">
        <f t="shared" si="32"/>
        <v>0.79</v>
      </c>
      <c r="K366">
        <f t="shared" si="33"/>
        <v>356</v>
      </c>
      <c r="L366" s="2">
        <f t="shared" si="34"/>
        <v>-0.47144466704213961</v>
      </c>
    </row>
    <row r="367" spans="1:12" x14ac:dyDescent="0.25">
      <c r="A367" s="4" t="s">
        <v>368</v>
      </c>
      <c r="B367" s="4">
        <v>158</v>
      </c>
      <c r="C367">
        <f t="shared" si="30"/>
        <v>0.79</v>
      </c>
      <c r="D367">
        <f t="shared" si="31"/>
        <v>333.2</v>
      </c>
      <c r="E367">
        <v>60.2</v>
      </c>
      <c r="H367">
        <f t="shared" si="35"/>
        <v>357</v>
      </c>
      <c r="I367">
        <f t="shared" si="32"/>
        <v>0.79</v>
      </c>
      <c r="K367">
        <f t="shared" si="33"/>
        <v>357</v>
      </c>
      <c r="L367" s="2">
        <f t="shared" si="34"/>
        <v>-0.47144466704213961</v>
      </c>
    </row>
    <row r="368" spans="1:12" x14ac:dyDescent="0.25">
      <c r="A368" s="4" t="s">
        <v>369</v>
      </c>
      <c r="B368" s="4">
        <v>156</v>
      </c>
      <c r="C368">
        <f t="shared" si="30"/>
        <v>0.78</v>
      </c>
      <c r="D368">
        <f t="shared" si="31"/>
        <v>333.2</v>
      </c>
      <c r="E368">
        <v>60.2</v>
      </c>
      <c r="H368">
        <f t="shared" si="35"/>
        <v>358</v>
      </c>
      <c r="I368">
        <f t="shared" si="32"/>
        <v>0.78</v>
      </c>
      <c r="K368">
        <f t="shared" si="33"/>
        <v>358</v>
      </c>
      <c r="L368" s="2">
        <f t="shared" si="34"/>
        <v>-0.49692271859699916</v>
      </c>
    </row>
    <row r="369" spans="1:12" x14ac:dyDescent="0.25">
      <c r="A369" s="4" t="s">
        <v>370</v>
      </c>
      <c r="B369" s="4">
        <v>158</v>
      </c>
      <c r="C369">
        <f t="shared" si="30"/>
        <v>0.79</v>
      </c>
      <c r="D369">
        <f t="shared" si="31"/>
        <v>333.2</v>
      </c>
      <c r="E369">
        <v>60.2</v>
      </c>
      <c r="H369">
        <f t="shared" si="35"/>
        <v>359</v>
      </c>
      <c r="I369">
        <f t="shared" si="32"/>
        <v>0.79</v>
      </c>
      <c r="K369">
        <f t="shared" si="33"/>
        <v>359</v>
      </c>
      <c r="L369" s="2">
        <f t="shared" si="34"/>
        <v>-0.47144466704213961</v>
      </c>
    </row>
    <row r="370" spans="1:12" x14ac:dyDescent="0.25">
      <c r="A370" s="4" t="s">
        <v>371</v>
      </c>
      <c r="B370" s="4">
        <v>157</v>
      </c>
      <c r="C370">
        <f t="shared" si="30"/>
        <v>0.78500000000000003</v>
      </c>
      <c r="D370">
        <f t="shared" si="31"/>
        <v>333.2</v>
      </c>
      <c r="E370">
        <v>60.2</v>
      </c>
      <c r="H370">
        <f t="shared" si="35"/>
        <v>360</v>
      </c>
      <c r="I370">
        <f t="shared" si="32"/>
        <v>0.78500000000000003</v>
      </c>
      <c r="K370">
        <f t="shared" si="33"/>
        <v>360</v>
      </c>
      <c r="L370" s="2">
        <f t="shared" si="34"/>
        <v>-0.48414312239945723</v>
      </c>
    </row>
    <row r="371" spans="1:12" x14ac:dyDescent="0.25">
      <c r="A371" s="4" t="s">
        <v>372</v>
      </c>
      <c r="B371" s="4">
        <v>157</v>
      </c>
      <c r="C371">
        <f t="shared" si="30"/>
        <v>0.78500000000000003</v>
      </c>
      <c r="D371">
        <f t="shared" si="31"/>
        <v>333.1</v>
      </c>
      <c r="E371">
        <v>60.1</v>
      </c>
      <c r="H371">
        <f t="shared" si="35"/>
        <v>361</v>
      </c>
      <c r="I371">
        <f t="shared" si="32"/>
        <v>0.78500000000000003</v>
      </c>
      <c r="K371">
        <f t="shared" si="33"/>
        <v>361</v>
      </c>
      <c r="L371" s="2">
        <f t="shared" si="34"/>
        <v>-0.48414312239945723</v>
      </c>
    </row>
    <row r="372" spans="1:12" x14ac:dyDescent="0.25">
      <c r="A372" s="4" t="s">
        <v>373</v>
      </c>
      <c r="B372" s="4">
        <v>157</v>
      </c>
      <c r="C372">
        <f t="shared" si="30"/>
        <v>0.78500000000000003</v>
      </c>
      <c r="D372">
        <f t="shared" si="31"/>
        <v>333.1</v>
      </c>
      <c r="E372">
        <v>60.1</v>
      </c>
      <c r="H372">
        <f t="shared" si="35"/>
        <v>362</v>
      </c>
      <c r="I372">
        <f t="shared" si="32"/>
        <v>0.78500000000000003</v>
      </c>
      <c r="K372">
        <f t="shared" si="33"/>
        <v>362</v>
      </c>
      <c r="L372" s="2">
        <f t="shared" si="34"/>
        <v>-0.48414312239945723</v>
      </c>
    </row>
    <row r="373" spans="1:12" x14ac:dyDescent="0.25">
      <c r="A373" s="4" t="s">
        <v>374</v>
      </c>
      <c r="B373" s="4">
        <v>156</v>
      </c>
      <c r="C373">
        <f t="shared" si="30"/>
        <v>0.78</v>
      </c>
      <c r="D373">
        <f t="shared" si="31"/>
        <v>333.1</v>
      </c>
      <c r="E373">
        <v>60.1</v>
      </c>
      <c r="H373">
        <f t="shared" si="35"/>
        <v>363</v>
      </c>
      <c r="I373">
        <f t="shared" si="32"/>
        <v>0.78</v>
      </c>
      <c r="K373">
        <f t="shared" si="33"/>
        <v>363</v>
      </c>
      <c r="L373" s="2">
        <f t="shared" si="34"/>
        <v>-0.49692271859699916</v>
      </c>
    </row>
    <row r="374" spans="1:12" x14ac:dyDescent="0.25">
      <c r="A374" s="4" t="s">
        <v>375</v>
      </c>
      <c r="B374" s="4">
        <v>157</v>
      </c>
      <c r="C374">
        <f t="shared" si="30"/>
        <v>0.78500000000000003</v>
      </c>
      <c r="D374">
        <f t="shared" si="31"/>
        <v>333</v>
      </c>
      <c r="E374">
        <v>60</v>
      </c>
      <c r="H374">
        <f t="shared" si="35"/>
        <v>364</v>
      </c>
      <c r="I374">
        <f t="shared" si="32"/>
        <v>0.78500000000000003</v>
      </c>
      <c r="K374">
        <f t="shared" si="33"/>
        <v>364</v>
      </c>
      <c r="L374" s="2">
        <f t="shared" si="34"/>
        <v>-0.48414312239945723</v>
      </c>
    </row>
    <row r="375" spans="1:12" x14ac:dyDescent="0.25">
      <c r="A375" s="4" t="s">
        <v>376</v>
      </c>
      <c r="B375" s="4">
        <v>158</v>
      </c>
      <c r="C375">
        <f t="shared" si="30"/>
        <v>0.79</v>
      </c>
      <c r="D375">
        <f t="shared" si="31"/>
        <v>333</v>
      </c>
      <c r="E375">
        <v>60</v>
      </c>
      <c r="H375">
        <f t="shared" si="35"/>
        <v>365</v>
      </c>
      <c r="I375">
        <f t="shared" si="32"/>
        <v>0.79</v>
      </c>
      <c r="K375">
        <f t="shared" si="33"/>
        <v>365</v>
      </c>
      <c r="L375" s="2">
        <f t="shared" si="34"/>
        <v>-0.47144466704213961</v>
      </c>
    </row>
    <row r="376" spans="1:12" x14ac:dyDescent="0.25">
      <c r="A376" s="4" t="s">
        <v>377</v>
      </c>
      <c r="B376" s="4">
        <v>157</v>
      </c>
      <c r="C376">
        <f t="shared" si="30"/>
        <v>0.78500000000000003</v>
      </c>
      <c r="D376">
        <f t="shared" si="31"/>
        <v>333</v>
      </c>
      <c r="E376">
        <v>60</v>
      </c>
      <c r="H376">
        <f t="shared" si="35"/>
        <v>366</v>
      </c>
      <c r="I376">
        <f t="shared" si="32"/>
        <v>0.78500000000000003</v>
      </c>
      <c r="K376">
        <f t="shared" si="33"/>
        <v>366</v>
      </c>
      <c r="L376" s="2">
        <f t="shared" si="34"/>
        <v>-0.48414312239945723</v>
      </c>
    </row>
    <row r="377" spans="1:12" x14ac:dyDescent="0.25">
      <c r="A377" s="4" t="s">
        <v>378</v>
      </c>
      <c r="B377" s="4">
        <v>157</v>
      </c>
      <c r="C377">
        <f t="shared" si="30"/>
        <v>0.78500000000000003</v>
      </c>
      <c r="D377">
        <f t="shared" si="31"/>
        <v>333</v>
      </c>
      <c r="E377">
        <v>60</v>
      </c>
      <c r="H377">
        <f t="shared" si="35"/>
        <v>367</v>
      </c>
      <c r="I377">
        <f t="shared" si="32"/>
        <v>0.78500000000000003</v>
      </c>
      <c r="K377">
        <f t="shared" si="33"/>
        <v>367</v>
      </c>
      <c r="L377" s="2">
        <f t="shared" si="34"/>
        <v>-0.48414312239945723</v>
      </c>
    </row>
    <row r="378" spans="1:12" x14ac:dyDescent="0.25">
      <c r="A378" s="4" t="s">
        <v>379</v>
      </c>
      <c r="B378" s="4">
        <v>157</v>
      </c>
      <c r="C378">
        <f t="shared" si="30"/>
        <v>0.78500000000000003</v>
      </c>
      <c r="D378">
        <f t="shared" si="31"/>
        <v>333</v>
      </c>
      <c r="E378">
        <v>60</v>
      </c>
      <c r="H378">
        <f t="shared" si="35"/>
        <v>368</v>
      </c>
      <c r="I378">
        <f t="shared" si="32"/>
        <v>0.78500000000000003</v>
      </c>
      <c r="K378">
        <f t="shared" si="33"/>
        <v>368</v>
      </c>
      <c r="L378" s="2">
        <f t="shared" si="34"/>
        <v>-0.48414312239945723</v>
      </c>
    </row>
    <row r="379" spans="1:12" x14ac:dyDescent="0.25">
      <c r="A379" s="4" t="s">
        <v>380</v>
      </c>
      <c r="B379" s="4">
        <v>157</v>
      </c>
      <c r="C379">
        <f t="shared" si="30"/>
        <v>0.78500000000000003</v>
      </c>
      <c r="D379">
        <f t="shared" si="31"/>
        <v>333</v>
      </c>
      <c r="E379">
        <v>60</v>
      </c>
      <c r="H379">
        <f t="shared" si="35"/>
        <v>369</v>
      </c>
      <c r="I379">
        <f t="shared" si="32"/>
        <v>0.78500000000000003</v>
      </c>
      <c r="K379">
        <f t="shared" si="33"/>
        <v>369</v>
      </c>
      <c r="L379" s="2">
        <f t="shared" si="34"/>
        <v>-0.48414312239945723</v>
      </c>
    </row>
    <row r="380" spans="1:12" x14ac:dyDescent="0.25">
      <c r="A380" s="4" t="s">
        <v>381</v>
      </c>
      <c r="B380" s="4">
        <v>157</v>
      </c>
      <c r="C380">
        <f t="shared" si="30"/>
        <v>0.78500000000000003</v>
      </c>
      <c r="D380">
        <f t="shared" si="31"/>
        <v>333</v>
      </c>
      <c r="E380">
        <v>60</v>
      </c>
      <c r="H380">
        <f t="shared" si="35"/>
        <v>370</v>
      </c>
      <c r="I380">
        <f t="shared" si="32"/>
        <v>0.78500000000000003</v>
      </c>
      <c r="K380">
        <f t="shared" si="33"/>
        <v>370</v>
      </c>
      <c r="L380" s="2">
        <f t="shared" si="34"/>
        <v>-0.48414312239945723</v>
      </c>
    </row>
    <row r="381" spans="1:12" x14ac:dyDescent="0.25">
      <c r="A381" s="4" t="s">
        <v>382</v>
      </c>
      <c r="B381" s="4">
        <v>156</v>
      </c>
      <c r="C381">
        <f t="shared" si="30"/>
        <v>0.78</v>
      </c>
      <c r="D381">
        <f t="shared" si="31"/>
        <v>332.9</v>
      </c>
      <c r="E381">
        <v>59.9</v>
      </c>
      <c r="H381">
        <f t="shared" si="35"/>
        <v>371</v>
      </c>
      <c r="I381">
        <f t="shared" si="32"/>
        <v>0.78</v>
      </c>
      <c r="K381">
        <f t="shared" si="33"/>
        <v>371</v>
      </c>
      <c r="L381" s="2">
        <f t="shared" si="34"/>
        <v>-0.49692271859699916</v>
      </c>
    </row>
    <row r="382" spans="1:12" x14ac:dyDescent="0.25">
      <c r="A382" s="4" t="s">
        <v>383</v>
      </c>
      <c r="B382" s="4">
        <v>156</v>
      </c>
      <c r="C382">
        <f t="shared" si="30"/>
        <v>0.78</v>
      </c>
      <c r="D382">
        <f t="shared" si="31"/>
        <v>332.9</v>
      </c>
      <c r="E382">
        <v>59.9</v>
      </c>
      <c r="H382">
        <f t="shared" si="35"/>
        <v>372</v>
      </c>
      <c r="I382">
        <f t="shared" si="32"/>
        <v>0.78</v>
      </c>
      <c r="K382">
        <f t="shared" si="33"/>
        <v>372</v>
      </c>
      <c r="L382" s="2">
        <f t="shared" si="34"/>
        <v>-0.49692271859699916</v>
      </c>
    </row>
    <row r="383" spans="1:12" x14ac:dyDescent="0.25">
      <c r="A383" s="4" t="s">
        <v>384</v>
      </c>
      <c r="B383" s="4">
        <v>156</v>
      </c>
      <c r="C383">
        <f t="shared" si="30"/>
        <v>0.78</v>
      </c>
      <c r="D383">
        <f t="shared" si="31"/>
        <v>332.9</v>
      </c>
      <c r="E383">
        <v>59.9</v>
      </c>
      <c r="H383">
        <f t="shared" si="35"/>
        <v>373</v>
      </c>
      <c r="I383">
        <f t="shared" si="32"/>
        <v>0.78</v>
      </c>
      <c r="K383">
        <f t="shared" si="33"/>
        <v>373</v>
      </c>
      <c r="L383" s="2">
        <f t="shared" si="34"/>
        <v>-0.49692271859699916</v>
      </c>
    </row>
    <row r="384" spans="1:12" x14ac:dyDescent="0.25">
      <c r="A384" s="4" t="s">
        <v>385</v>
      </c>
      <c r="B384" s="4">
        <v>156</v>
      </c>
      <c r="C384">
        <f t="shared" si="30"/>
        <v>0.78</v>
      </c>
      <c r="D384">
        <f t="shared" si="31"/>
        <v>332.5</v>
      </c>
      <c r="E384">
        <v>59.5</v>
      </c>
      <c r="H384">
        <f t="shared" si="35"/>
        <v>374</v>
      </c>
      <c r="I384">
        <f t="shared" si="32"/>
        <v>0.78</v>
      </c>
      <c r="K384">
        <f t="shared" si="33"/>
        <v>374</v>
      </c>
      <c r="L384" s="2">
        <f t="shared" si="34"/>
        <v>-0.49692271859699916</v>
      </c>
    </row>
    <row r="385" spans="1:12" x14ac:dyDescent="0.25">
      <c r="A385" s="4" t="s">
        <v>386</v>
      </c>
      <c r="B385" s="4">
        <v>155</v>
      </c>
      <c r="C385">
        <f t="shared" si="30"/>
        <v>0.77500000000000002</v>
      </c>
      <c r="D385">
        <f t="shared" si="31"/>
        <v>332.5</v>
      </c>
      <c r="E385">
        <v>59.5</v>
      </c>
      <c r="H385">
        <f t="shared" si="35"/>
        <v>375</v>
      </c>
      <c r="I385">
        <f t="shared" si="32"/>
        <v>0.77500000000000002</v>
      </c>
      <c r="K385">
        <f t="shared" si="33"/>
        <v>375</v>
      </c>
      <c r="L385" s="2">
        <f t="shared" si="34"/>
        <v>-0.50978449925757996</v>
      </c>
    </row>
    <row r="386" spans="1:12" x14ac:dyDescent="0.25">
      <c r="A386" s="4" t="s">
        <v>387</v>
      </c>
      <c r="B386" s="4">
        <v>155</v>
      </c>
      <c r="C386">
        <f t="shared" si="30"/>
        <v>0.77500000000000002</v>
      </c>
      <c r="D386">
        <f t="shared" si="31"/>
        <v>332.5</v>
      </c>
      <c r="E386">
        <v>59.5</v>
      </c>
      <c r="H386">
        <f t="shared" si="35"/>
        <v>376</v>
      </c>
      <c r="I386">
        <f t="shared" si="32"/>
        <v>0.77500000000000002</v>
      </c>
      <c r="K386">
        <f t="shared" si="33"/>
        <v>376</v>
      </c>
      <c r="L386" s="2">
        <f t="shared" si="34"/>
        <v>-0.50978449925757996</v>
      </c>
    </row>
    <row r="387" spans="1:12" x14ac:dyDescent="0.25">
      <c r="A387" s="4" t="s">
        <v>388</v>
      </c>
      <c r="B387" s="4">
        <v>153</v>
      </c>
      <c r="C387">
        <f t="shared" si="30"/>
        <v>0.76500000000000001</v>
      </c>
      <c r="D387">
        <f t="shared" si="31"/>
        <v>332.3</v>
      </c>
      <c r="E387">
        <v>59.3</v>
      </c>
      <c r="H387">
        <f t="shared" si="35"/>
        <v>377</v>
      </c>
      <c r="I387">
        <f t="shared" si="32"/>
        <v>0.76500000000000001</v>
      </c>
      <c r="K387">
        <f t="shared" si="33"/>
        <v>377</v>
      </c>
      <c r="L387" s="2">
        <f t="shared" si="34"/>
        <v>-0.53575889031120238</v>
      </c>
    </row>
    <row r="388" spans="1:12" x14ac:dyDescent="0.25">
      <c r="A388" s="4" t="s">
        <v>389</v>
      </c>
      <c r="B388" s="4">
        <v>155</v>
      </c>
      <c r="C388">
        <f t="shared" si="30"/>
        <v>0.77500000000000002</v>
      </c>
      <c r="D388">
        <f t="shared" si="31"/>
        <v>332.3</v>
      </c>
      <c r="E388">
        <v>59.3</v>
      </c>
      <c r="H388">
        <f t="shared" si="35"/>
        <v>378</v>
      </c>
      <c r="I388">
        <f t="shared" si="32"/>
        <v>0.77500000000000002</v>
      </c>
      <c r="K388">
        <f t="shared" si="33"/>
        <v>378</v>
      </c>
      <c r="L388" s="2">
        <f t="shared" si="34"/>
        <v>-0.50978449925757996</v>
      </c>
    </row>
    <row r="389" spans="1:12" x14ac:dyDescent="0.25">
      <c r="A389" s="4" t="s">
        <v>390</v>
      </c>
      <c r="B389" s="4">
        <v>155</v>
      </c>
      <c r="C389">
        <f t="shared" si="30"/>
        <v>0.77500000000000002</v>
      </c>
      <c r="D389">
        <f t="shared" si="31"/>
        <v>332.3</v>
      </c>
      <c r="E389">
        <v>59.3</v>
      </c>
      <c r="H389">
        <f t="shared" si="35"/>
        <v>379</v>
      </c>
      <c r="I389">
        <f t="shared" si="32"/>
        <v>0.77500000000000002</v>
      </c>
      <c r="K389">
        <f t="shared" si="33"/>
        <v>379</v>
      </c>
      <c r="L389" s="2">
        <f t="shared" si="34"/>
        <v>-0.50978449925757996</v>
      </c>
    </row>
    <row r="390" spans="1:12" x14ac:dyDescent="0.25">
      <c r="A390" s="4" t="s">
        <v>391</v>
      </c>
      <c r="B390" s="4">
        <v>154</v>
      </c>
      <c r="C390">
        <f t="shared" si="30"/>
        <v>0.77</v>
      </c>
      <c r="D390">
        <f t="shared" si="31"/>
        <v>332.3</v>
      </c>
      <c r="E390">
        <v>59.3</v>
      </c>
      <c r="H390">
        <f t="shared" si="35"/>
        <v>380</v>
      </c>
      <c r="I390">
        <f t="shared" si="32"/>
        <v>0.77</v>
      </c>
      <c r="K390">
        <f t="shared" si="33"/>
        <v>380</v>
      </c>
      <c r="L390" s="2">
        <f t="shared" si="34"/>
        <v>-0.52272952826881502</v>
      </c>
    </row>
    <row r="391" spans="1:12" x14ac:dyDescent="0.25">
      <c r="A391" s="4" t="s">
        <v>392</v>
      </c>
      <c r="B391" s="4">
        <v>154</v>
      </c>
      <c r="C391">
        <f t="shared" si="30"/>
        <v>0.77</v>
      </c>
      <c r="D391">
        <f t="shared" si="31"/>
        <v>332.3</v>
      </c>
      <c r="E391">
        <v>59.3</v>
      </c>
      <c r="H391">
        <f t="shared" si="35"/>
        <v>381</v>
      </c>
      <c r="I391">
        <f t="shared" si="32"/>
        <v>0.77</v>
      </c>
      <c r="K391">
        <f t="shared" si="33"/>
        <v>381</v>
      </c>
      <c r="L391" s="2">
        <f t="shared" si="34"/>
        <v>-0.52272952826881502</v>
      </c>
    </row>
    <row r="392" spans="1:12" x14ac:dyDescent="0.25">
      <c r="A392" s="4" t="s">
        <v>393</v>
      </c>
      <c r="B392" s="4">
        <v>155</v>
      </c>
      <c r="C392">
        <f t="shared" si="30"/>
        <v>0.77500000000000002</v>
      </c>
      <c r="D392">
        <f t="shared" si="31"/>
        <v>332.3</v>
      </c>
      <c r="E392">
        <v>59.3</v>
      </c>
      <c r="H392">
        <f t="shared" si="35"/>
        <v>382</v>
      </c>
      <c r="I392">
        <f t="shared" si="32"/>
        <v>0.77500000000000002</v>
      </c>
      <c r="K392">
        <f t="shared" si="33"/>
        <v>382</v>
      </c>
      <c r="L392" s="2">
        <f t="shared" si="34"/>
        <v>-0.50978449925757996</v>
      </c>
    </row>
    <row r="393" spans="1:12" x14ac:dyDescent="0.25">
      <c r="A393" s="4" t="s">
        <v>394</v>
      </c>
      <c r="B393" s="4">
        <v>156</v>
      </c>
      <c r="C393">
        <f t="shared" si="30"/>
        <v>0.78</v>
      </c>
      <c r="D393">
        <f t="shared" si="31"/>
        <v>332.3</v>
      </c>
      <c r="E393">
        <v>59.3</v>
      </c>
      <c r="H393">
        <f t="shared" si="35"/>
        <v>383</v>
      </c>
      <c r="I393">
        <f t="shared" si="32"/>
        <v>0.78</v>
      </c>
      <c r="K393">
        <f t="shared" si="33"/>
        <v>383</v>
      </c>
      <c r="L393" s="2">
        <f t="shared" si="34"/>
        <v>-0.49692271859699916</v>
      </c>
    </row>
    <row r="394" spans="1:12" x14ac:dyDescent="0.25">
      <c r="A394" s="4" t="s">
        <v>395</v>
      </c>
      <c r="B394" s="4">
        <v>153</v>
      </c>
      <c r="C394">
        <f t="shared" si="30"/>
        <v>0.76500000000000001</v>
      </c>
      <c r="D394">
        <f t="shared" si="31"/>
        <v>332.3</v>
      </c>
      <c r="E394">
        <v>59.3</v>
      </c>
      <c r="H394">
        <f t="shared" si="35"/>
        <v>384</v>
      </c>
      <c r="I394">
        <f t="shared" si="32"/>
        <v>0.76500000000000001</v>
      </c>
      <c r="K394">
        <f t="shared" si="33"/>
        <v>384</v>
      </c>
      <c r="L394" s="2">
        <f t="shared" si="34"/>
        <v>-0.53575889031120238</v>
      </c>
    </row>
    <row r="395" spans="1:12" x14ac:dyDescent="0.25">
      <c r="A395" s="4" t="s">
        <v>396</v>
      </c>
      <c r="B395" s="4">
        <v>154</v>
      </c>
      <c r="C395">
        <f t="shared" ref="C395:C458" si="36">B395/200</f>
        <v>0.77</v>
      </c>
      <c r="D395">
        <f t="shared" ref="D395:D458" si="37">273+E395</f>
        <v>332.3</v>
      </c>
      <c r="E395">
        <v>59.3</v>
      </c>
      <c r="H395">
        <f t="shared" si="35"/>
        <v>385</v>
      </c>
      <c r="I395">
        <f t="shared" ref="I395:I458" si="38">C395</f>
        <v>0.77</v>
      </c>
      <c r="K395">
        <f t="shared" ref="K395:K458" si="39">H395</f>
        <v>385</v>
      </c>
      <c r="L395" s="2">
        <f t="shared" ref="L395:L458" si="40">LN(I395*I395)</f>
        <v>-0.52272952826881502</v>
      </c>
    </row>
    <row r="396" spans="1:12" x14ac:dyDescent="0.25">
      <c r="A396" s="4" t="s">
        <v>397</v>
      </c>
      <c r="B396" s="4">
        <v>153</v>
      </c>
      <c r="C396">
        <f t="shared" si="36"/>
        <v>0.76500000000000001</v>
      </c>
      <c r="D396">
        <f t="shared" si="37"/>
        <v>332.3</v>
      </c>
      <c r="E396">
        <v>59.3</v>
      </c>
      <c r="H396">
        <f t="shared" ref="H396:H459" si="41">H395+1</f>
        <v>386</v>
      </c>
      <c r="I396">
        <f t="shared" si="38"/>
        <v>0.76500000000000001</v>
      </c>
      <c r="K396">
        <f t="shared" si="39"/>
        <v>386</v>
      </c>
      <c r="L396" s="2">
        <f t="shared" si="40"/>
        <v>-0.53575889031120238</v>
      </c>
    </row>
    <row r="397" spans="1:12" x14ac:dyDescent="0.25">
      <c r="A397" s="4" t="s">
        <v>398</v>
      </c>
      <c r="B397" s="4">
        <v>155</v>
      </c>
      <c r="C397">
        <f t="shared" si="36"/>
        <v>0.77500000000000002</v>
      </c>
      <c r="D397">
        <f t="shared" si="37"/>
        <v>332.3</v>
      </c>
      <c r="E397">
        <v>59.3</v>
      </c>
      <c r="H397">
        <f t="shared" si="41"/>
        <v>387</v>
      </c>
      <c r="I397">
        <f t="shared" si="38"/>
        <v>0.77500000000000002</v>
      </c>
      <c r="K397">
        <f t="shared" si="39"/>
        <v>387</v>
      </c>
      <c r="L397" s="2">
        <f t="shared" si="40"/>
        <v>-0.50978449925757996</v>
      </c>
    </row>
    <row r="398" spans="1:12" x14ac:dyDescent="0.25">
      <c r="A398" s="4" t="s">
        <v>399</v>
      </c>
      <c r="B398" s="4">
        <v>153</v>
      </c>
      <c r="C398">
        <f t="shared" si="36"/>
        <v>0.76500000000000001</v>
      </c>
      <c r="D398">
        <f t="shared" si="37"/>
        <v>332.3</v>
      </c>
      <c r="E398">
        <v>59.3</v>
      </c>
      <c r="H398">
        <f t="shared" si="41"/>
        <v>388</v>
      </c>
      <c r="I398">
        <f t="shared" si="38"/>
        <v>0.76500000000000001</v>
      </c>
      <c r="K398">
        <f t="shared" si="39"/>
        <v>388</v>
      </c>
      <c r="L398" s="2">
        <f t="shared" si="40"/>
        <v>-0.53575889031120238</v>
      </c>
    </row>
    <row r="399" spans="1:12" x14ac:dyDescent="0.25">
      <c r="A399" s="4" t="s">
        <v>400</v>
      </c>
      <c r="B399" s="4">
        <v>154</v>
      </c>
      <c r="C399">
        <f t="shared" si="36"/>
        <v>0.77</v>
      </c>
      <c r="D399">
        <f t="shared" si="37"/>
        <v>332.3</v>
      </c>
      <c r="E399">
        <v>59.3</v>
      </c>
      <c r="H399">
        <f t="shared" si="41"/>
        <v>389</v>
      </c>
      <c r="I399">
        <f t="shared" si="38"/>
        <v>0.77</v>
      </c>
      <c r="K399">
        <f t="shared" si="39"/>
        <v>389</v>
      </c>
      <c r="L399" s="2">
        <f t="shared" si="40"/>
        <v>-0.52272952826881502</v>
      </c>
    </row>
    <row r="400" spans="1:12" x14ac:dyDescent="0.25">
      <c r="A400" s="4" t="s">
        <v>401</v>
      </c>
      <c r="B400" s="4">
        <v>154</v>
      </c>
      <c r="C400">
        <f t="shared" si="36"/>
        <v>0.77</v>
      </c>
      <c r="D400">
        <f t="shared" si="37"/>
        <v>332.3</v>
      </c>
      <c r="E400">
        <v>59.3</v>
      </c>
      <c r="H400">
        <f t="shared" si="41"/>
        <v>390</v>
      </c>
      <c r="I400">
        <f t="shared" si="38"/>
        <v>0.77</v>
      </c>
      <c r="K400">
        <f t="shared" si="39"/>
        <v>390</v>
      </c>
      <c r="L400" s="2">
        <f t="shared" si="40"/>
        <v>-0.52272952826881502</v>
      </c>
    </row>
    <row r="401" spans="1:12" x14ac:dyDescent="0.25">
      <c r="A401" s="4" t="s">
        <v>402</v>
      </c>
      <c r="B401" s="4">
        <v>153</v>
      </c>
      <c r="C401">
        <f t="shared" si="36"/>
        <v>0.76500000000000001</v>
      </c>
      <c r="D401">
        <f t="shared" si="37"/>
        <v>332.3</v>
      </c>
      <c r="E401">
        <v>59.3</v>
      </c>
      <c r="H401">
        <f t="shared" si="41"/>
        <v>391</v>
      </c>
      <c r="I401">
        <f t="shared" si="38"/>
        <v>0.76500000000000001</v>
      </c>
      <c r="K401">
        <f t="shared" si="39"/>
        <v>391</v>
      </c>
      <c r="L401" s="2">
        <f t="shared" si="40"/>
        <v>-0.53575889031120238</v>
      </c>
    </row>
    <row r="402" spans="1:12" x14ac:dyDescent="0.25">
      <c r="A402" s="4" t="s">
        <v>403</v>
      </c>
      <c r="B402" s="4">
        <v>153</v>
      </c>
      <c r="C402">
        <f t="shared" si="36"/>
        <v>0.76500000000000001</v>
      </c>
      <c r="D402">
        <f t="shared" si="37"/>
        <v>332.3</v>
      </c>
      <c r="E402">
        <v>59.3</v>
      </c>
      <c r="H402">
        <f t="shared" si="41"/>
        <v>392</v>
      </c>
      <c r="I402">
        <f t="shared" si="38"/>
        <v>0.76500000000000001</v>
      </c>
      <c r="K402">
        <f t="shared" si="39"/>
        <v>392</v>
      </c>
      <c r="L402" s="2">
        <f t="shared" si="40"/>
        <v>-0.53575889031120238</v>
      </c>
    </row>
    <row r="403" spans="1:12" x14ac:dyDescent="0.25">
      <c r="A403" s="4" t="s">
        <v>404</v>
      </c>
      <c r="B403" s="4">
        <v>152</v>
      </c>
      <c r="C403">
        <f t="shared" si="36"/>
        <v>0.76</v>
      </c>
      <c r="D403">
        <f t="shared" si="37"/>
        <v>332.1</v>
      </c>
      <c r="E403">
        <v>59.1</v>
      </c>
      <c r="H403">
        <f t="shared" si="41"/>
        <v>393</v>
      </c>
      <c r="I403">
        <f t="shared" si="38"/>
        <v>0.76</v>
      </c>
      <c r="K403">
        <f t="shared" si="39"/>
        <v>393</v>
      </c>
      <c r="L403" s="2">
        <f t="shared" si="40"/>
        <v>-0.5488736914035206</v>
      </c>
    </row>
    <row r="404" spans="1:12" x14ac:dyDescent="0.25">
      <c r="A404" s="4" t="s">
        <v>405</v>
      </c>
      <c r="B404" s="4">
        <v>152</v>
      </c>
      <c r="C404">
        <f t="shared" si="36"/>
        <v>0.76</v>
      </c>
      <c r="D404">
        <f t="shared" si="37"/>
        <v>332.1</v>
      </c>
      <c r="E404">
        <v>59.1</v>
      </c>
      <c r="H404">
        <f t="shared" si="41"/>
        <v>394</v>
      </c>
      <c r="I404">
        <f t="shared" si="38"/>
        <v>0.76</v>
      </c>
      <c r="K404">
        <f t="shared" si="39"/>
        <v>394</v>
      </c>
      <c r="L404" s="2">
        <f t="shared" si="40"/>
        <v>-0.5488736914035206</v>
      </c>
    </row>
    <row r="405" spans="1:12" x14ac:dyDescent="0.25">
      <c r="A405" s="4" t="s">
        <v>406</v>
      </c>
      <c r="B405" s="4">
        <v>151</v>
      </c>
      <c r="C405">
        <f t="shared" si="36"/>
        <v>0.755</v>
      </c>
      <c r="D405">
        <f t="shared" si="37"/>
        <v>332.1</v>
      </c>
      <c r="E405">
        <v>59.1</v>
      </c>
      <c r="H405">
        <f t="shared" si="41"/>
        <v>395</v>
      </c>
      <c r="I405">
        <f t="shared" si="38"/>
        <v>0.755</v>
      </c>
      <c r="K405">
        <f t="shared" si="39"/>
        <v>395</v>
      </c>
      <c r="L405" s="2">
        <f t="shared" si="40"/>
        <v>-0.56207505946622471</v>
      </c>
    </row>
    <row r="406" spans="1:12" x14ac:dyDescent="0.25">
      <c r="A406" s="4" t="s">
        <v>407</v>
      </c>
      <c r="B406" s="4">
        <v>151</v>
      </c>
      <c r="C406">
        <f t="shared" si="36"/>
        <v>0.755</v>
      </c>
      <c r="D406">
        <f t="shared" si="37"/>
        <v>331.9</v>
      </c>
      <c r="E406">
        <v>58.9</v>
      </c>
      <c r="H406">
        <f t="shared" si="41"/>
        <v>396</v>
      </c>
      <c r="I406">
        <f t="shared" si="38"/>
        <v>0.755</v>
      </c>
      <c r="K406">
        <f t="shared" si="39"/>
        <v>396</v>
      </c>
      <c r="L406" s="2">
        <f t="shared" si="40"/>
        <v>-0.56207505946622471</v>
      </c>
    </row>
    <row r="407" spans="1:12" x14ac:dyDescent="0.25">
      <c r="A407" s="4" t="s">
        <v>408</v>
      </c>
      <c r="B407" s="4">
        <v>152</v>
      </c>
      <c r="C407">
        <f t="shared" si="36"/>
        <v>0.76</v>
      </c>
      <c r="D407">
        <f t="shared" si="37"/>
        <v>331.9</v>
      </c>
      <c r="E407">
        <v>58.9</v>
      </c>
      <c r="H407">
        <f t="shared" si="41"/>
        <v>397</v>
      </c>
      <c r="I407">
        <f t="shared" si="38"/>
        <v>0.76</v>
      </c>
      <c r="K407">
        <f t="shared" si="39"/>
        <v>397</v>
      </c>
      <c r="L407" s="2">
        <f t="shared" si="40"/>
        <v>-0.5488736914035206</v>
      </c>
    </row>
    <row r="408" spans="1:12" x14ac:dyDescent="0.25">
      <c r="A408" s="4" t="s">
        <v>409</v>
      </c>
      <c r="B408" s="4">
        <v>152</v>
      </c>
      <c r="C408">
        <f t="shared" si="36"/>
        <v>0.76</v>
      </c>
      <c r="D408">
        <f t="shared" si="37"/>
        <v>331.9</v>
      </c>
      <c r="E408">
        <v>58.9</v>
      </c>
      <c r="H408">
        <f t="shared" si="41"/>
        <v>398</v>
      </c>
      <c r="I408">
        <f t="shared" si="38"/>
        <v>0.76</v>
      </c>
      <c r="K408">
        <f t="shared" si="39"/>
        <v>398</v>
      </c>
      <c r="L408" s="2">
        <f t="shared" si="40"/>
        <v>-0.5488736914035206</v>
      </c>
    </row>
    <row r="409" spans="1:12" x14ac:dyDescent="0.25">
      <c r="A409" s="4" t="s">
        <v>410</v>
      </c>
      <c r="B409" s="4">
        <v>152</v>
      </c>
      <c r="C409">
        <f t="shared" si="36"/>
        <v>0.76</v>
      </c>
      <c r="D409">
        <f t="shared" si="37"/>
        <v>331.9</v>
      </c>
      <c r="E409">
        <v>58.9</v>
      </c>
      <c r="H409">
        <f t="shared" si="41"/>
        <v>399</v>
      </c>
      <c r="I409">
        <f t="shared" si="38"/>
        <v>0.76</v>
      </c>
      <c r="K409">
        <f t="shared" si="39"/>
        <v>399</v>
      </c>
      <c r="L409" s="2">
        <f t="shared" si="40"/>
        <v>-0.5488736914035206</v>
      </c>
    </row>
    <row r="410" spans="1:12" x14ac:dyDescent="0.25">
      <c r="A410" s="4" t="s">
        <v>411</v>
      </c>
      <c r="B410" s="4">
        <v>151</v>
      </c>
      <c r="C410">
        <f t="shared" si="36"/>
        <v>0.755</v>
      </c>
      <c r="D410">
        <f t="shared" si="37"/>
        <v>331.9</v>
      </c>
      <c r="E410">
        <v>58.9</v>
      </c>
      <c r="H410">
        <f t="shared" si="41"/>
        <v>400</v>
      </c>
      <c r="I410">
        <f t="shared" si="38"/>
        <v>0.755</v>
      </c>
      <c r="K410">
        <f t="shared" si="39"/>
        <v>400</v>
      </c>
      <c r="L410" s="2">
        <f t="shared" si="40"/>
        <v>-0.56207505946622471</v>
      </c>
    </row>
    <row r="411" spans="1:12" x14ac:dyDescent="0.25">
      <c r="A411" s="4" t="s">
        <v>412</v>
      </c>
      <c r="B411" s="4">
        <v>151</v>
      </c>
      <c r="C411">
        <f t="shared" si="36"/>
        <v>0.755</v>
      </c>
      <c r="D411">
        <f t="shared" si="37"/>
        <v>331.9</v>
      </c>
      <c r="E411">
        <v>58.9</v>
      </c>
      <c r="H411">
        <f t="shared" si="41"/>
        <v>401</v>
      </c>
      <c r="I411">
        <f t="shared" si="38"/>
        <v>0.755</v>
      </c>
      <c r="K411">
        <f t="shared" si="39"/>
        <v>401</v>
      </c>
      <c r="L411" s="2">
        <f t="shared" si="40"/>
        <v>-0.56207505946622471</v>
      </c>
    </row>
    <row r="412" spans="1:12" x14ac:dyDescent="0.25">
      <c r="A412" s="4" t="s">
        <v>413</v>
      </c>
      <c r="B412" s="4">
        <v>150</v>
      </c>
      <c r="C412">
        <f t="shared" si="36"/>
        <v>0.75</v>
      </c>
      <c r="D412">
        <f t="shared" si="37"/>
        <v>331.9</v>
      </c>
      <c r="E412">
        <v>58.9</v>
      </c>
      <c r="H412">
        <f t="shared" si="41"/>
        <v>402</v>
      </c>
      <c r="I412">
        <f t="shared" si="38"/>
        <v>0.75</v>
      </c>
      <c r="K412">
        <f t="shared" si="39"/>
        <v>402</v>
      </c>
      <c r="L412" s="2">
        <f t="shared" si="40"/>
        <v>-0.5753641449035618</v>
      </c>
    </row>
    <row r="413" spans="1:12" x14ac:dyDescent="0.25">
      <c r="A413" s="4" t="s">
        <v>414</v>
      </c>
      <c r="B413" s="4">
        <v>152</v>
      </c>
      <c r="C413">
        <f t="shared" si="36"/>
        <v>0.76</v>
      </c>
      <c r="D413">
        <f t="shared" si="37"/>
        <v>332</v>
      </c>
      <c r="E413">
        <v>59</v>
      </c>
      <c r="H413">
        <f t="shared" si="41"/>
        <v>403</v>
      </c>
      <c r="I413">
        <f t="shared" si="38"/>
        <v>0.76</v>
      </c>
      <c r="K413">
        <f t="shared" si="39"/>
        <v>403</v>
      </c>
      <c r="L413" s="2">
        <f t="shared" si="40"/>
        <v>-0.5488736914035206</v>
      </c>
    </row>
    <row r="414" spans="1:12" x14ac:dyDescent="0.25">
      <c r="A414" s="4" t="s">
        <v>415</v>
      </c>
      <c r="B414" s="4">
        <v>151</v>
      </c>
      <c r="C414">
        <f t="shared" si="36"/>
        <v>0.755</v>
      </c>
      <c r="D414">
        <f t="shared" si="37"/>
        <v>332</v>
      </c>
      <c r="E414">
        <v>59</v>
      </c>
      <c r="H414">
        <f t="shared" si="41"/>
        <v>404</v>
      </c>
      <c r="I414">
        <f t="shared" si="38"/>
        <v>0.755</v>
      </c>
      <c r="K414">
        <f t="shared" si="39"/>
        <v>404</v>
      </c>
      <c r="L414" s="2">
        <f t="shared" si="40"/>
        <v>-0.56207505946622471</v>
      </c>
    </row>
    <row r="415" spans="1:12" x14ac:dyDescent="0.25">
      <c r="A415" s="4" t="s">
        <v>416</v>
      </c>
      <c r="B415" s="4">
        <v>151</v>
      </c>
      <c r="C415">
        <f t="shared" si="36"/>
        <v>0.755</v>
      </c>
      <c r="D415">
        <f t="shared" si="37"/>
        <v>332</v>
      </c>
      <c r="E415">
        <v>59</v>
      </c>
      <c r="H415">
        <f t="shared" si="41"/>
        <v>405</v>
      </c>
      <c r="I415">
        <f t="shared" si="38"/>
        <v>0.755</v>
      </c>
      <c r="K415">
        <f t="shared" si="39"/>
        <v>405</v>
      </c>
      <c r="L415" s="2">
        <f t="shared" si="40"/>
        <v>-0.56207505946622471</v>
      </c>
    </row>
    <row r="416" spans="1:12" x14ac:dyDescent="0.25">
      <c r="A416" s="4" t="s">
        <v>417</v>
      </c>
      <c r="B416" s="4">
        <v>151</v>
      </c>
      <c r="C416">
        <f t="shared" si="36"/>
        <v>0.755</v>
      </c>
      <c r="D416">
        <f t="shared" si="37"/>
        <v>332</v>
      </c>
      <c r="E416">
        <v>59</v>
      </c>
      <c r="H416">
        <f t="shared" si="41"/>
        <v>406</v>
      </c>
      <c r="I416">
        <f t="shared" si="38"/>
        <v>0.755</v>
      </c>
      <c r="K416">
        <f t="shared" si="39"/>
        <v>406</v>
      </c>
      <c r="L416" s="2">
        <f t="shared" si="40"/>
        <v>-0.56207505946622471</v>
      </c>
    </row>
    <row r="417" spans="1:12" x14ac:dyDescent="0.25">
      <c r="A417" s="4" t="s">
        <v>418</v>
      </c>
      <c r="B417" s="4">
        <v>151</v>
      </c>
      <c r="C417">
        <f t="shared" si="36"/>
        <v>0.755</v>
      </c>
      <c r="D417">
        <f t="shared" si="37"/>
        <v>332</v>
      </c>
      <c r="E417">
        <v>59</v>
      </c>
      <c r="H417">
        <f t="shared" si="41"/>
        <v>407</v>
      </c>
      <c r="I417">
        <f t="shared" si="38"/>
        <v>0.755</v>
      </c>
      <c r="K417">
        <f t="shared" si="39"/>
        <v>407</v>
      </c>
      <c r="L417" s="2">
        <f t="shared" si="40"/>
        <v>-0.56207505946622471</v>
      </c>
    </row>
    <row r="418" spans="1:12" x14ac:dyDescent="0.25">
      <c r="A418" s="4" t="s">
        <v>419</v>
      </c>
      <c r="B418" s="4">
        <v>151</v>
      </c>
      <c r="C418">
        <f t="shared" si="36"/>
        <v>0.755</v>
      </c>
      <c r="D418">
        <f t="shared" si="37"/>
        <v>332</v>
      </c>
      <c r="E418">
        <v>59</v>
      </c>
      <c r="H418">
        <f t="shared" si="41"/>
        <v>408</v>
      </c>
      <c r="I418">
        <f t="shared" si="38"/>
        <v>0.755</v>
      </c>
      <c r="K418">
        <f t="shared" si="39"/>
        <v>408</v>
      </c>
      <c r="L418" s="2">
        <f t="shared" si="40"/>
        <v>-0.56207505946622471</v>
      </c>
    </row>
    <row r="419" spans="1:12" x14ac:dyDescent="0.25">
      <c r="A419" s="4" t="s">
        <v>420</v>
      </c>
      <c r="B419" s="4">
        <v>150</v>
      </c>
      <c r="C419">
        <f t="shared" si="36"/>
        <v>0.75</v>
      </c>
      <c r="D419">
        <f t="shared" si="37"/>
        <v>331.9</v>
      </c>
      <c r="E419">
        <v>58.9</v>
      </c>
      <c r="H419">
        <f t="shared" si="41"/>
        <v>409</v>
      </c>
      <c r="I419">
        <f t="shared" si="38"/>
        <v>0.75</v>
      </c>
      <c r="K419">
        <f t="shared" si="39"/>
        <v>409</v>
      </c>
      <c r="L419" s="2">
        <f t="shared" si="40"/>
        <v>-0.5753641449035618</v>
      </c>
    </row>
    <row r="420" spans="1:12" x14ac:dyDescent="0.25">
      <c r="A420" s="4" t="s">
        <v>421</v>
      </c>
      <c r="B420" s="4">
        <v>148</v>
      </c>
      <c r="C420">
        <f t="shared" si="36"/>
        <v>0.74</v>
      </c>
      <c r="D420">
        <f t="shared" si="37"/>
        <v>331.9</v>
      </c>
      <c r="E420">
        <v>58.9</v>
      </c>
      <c r="H420">
        <f t="shared" si="41"/>
        <v>410</v>
      </c>
      <c r="I420">
        <f t="shared" si="38"/>
        <v>0.74</v>
      </c>
      <c r="K420">
        <f t="shared" si="39"/>
        <v>410</v>
      </c>
      <c r="L420" s="2">
        <f t="shared" si="40"/>
        <v>-0.60221018556784323</v>
      </c>
    </row>
    <row r="421" spans="1:12" x14ac:dyDescent="0.25">
      <c r="A421" s="4" t="s">
        <v>422</v>
      </c>
      <c r="B421" s="4">
        <v>151</v>
      </c>
      <c r="C421">
        <f t="shared" si="36"/>
        <v>0.755</v>
      </c>
      <c r="D421">
        <f t="shared" si="37"/>
        <v>331.9</v>
      </c>
      <c r="E421">
        <v>58.9</v>
      </c>
      <c r="H421">
        <f t="shared" si="41"/>
        <v>411</v>
      </c>
      <c r="I421">
        <f t="shared" si="38"/>
        <v>0.755</v>
      </c>
      <c r="K421">
        <f t="shared" si="39"/>
        <v>411</v>
      </c>
      <c r="L421" s="2">
        <f t="shared" si="40"/>
        <v>-0.56207505946622471</v>
      </c>
    </row>
    <row r="422" spans="1:12" x14ac:dyDescent="0.25">
      <c r="A422" s="4" t="s">
        <v>423</v>
      </c>
      <c r="B422" s="4">
        <v>150</v>
      </c>
      <c r="C422">
        <f t="shared" si="36"/>
        <v>0.75</v>
      </c>
      <c r="D422">
        <f t="shared" si="37"/>
        <v>331.8</v>
      </c>
      <c r="E422">
        <v>58.8</v>
      </c>
      <c r="H422">
        <f t="shared" si="41"/>
        <v>412</v>
      </c>
      <c r="I422">
        <f t="shared" si="38"/>
        <v>0.75</v>
      </c>
      <c r="K422">
        <f t="shared" si="39"/>
        <v>412</v>
      </c>
      <c r="L422" s="2">
        <f t="shared" si="40"/>
        <v>-0.5753641449035618</v>
      </c>
    </row>
    <row r="423" spans="1:12" x14ac:dyDescent="0.25">
      <c r="A423" s="4" t="s">
        <v>424</v>
      </c>
      <c r="B423" s="4">
        <v>149</v>
      </c>
      <c r="C423">
        <f t="shared" si="36"/>
        <v>0.745</v>
      </c>
      <c r="D423">
        <f t="shared" si="37"/>
        <v>331.8</v>
      </c>
      <c r="E423">
        <v>58.8</v>
      </c>
      <c r="H423">
        <f t="shared" si="41"/>
        <v>413</v>
      </c>
      <c r="I423">
        <f t="shared" si="38"/>
        <v>0.745</v>
      </c>
      <c r="K423">
        <f t="shared" si="39"/>
        <v>413</v>
      </c>
      <c r="L423" s="2">
        <f t="shared" si="40"/>
        <v>-0.58874212120515512</v>
      </c>
    </row>
    <row r="424" spans="1:12" x14ac:dyDescent="0.25">
      <c r="A424" s="4" t="s">
        <v>425</v>
      </c>
      <c r="B424" s="4">
        <v>149</v>
      </c>
      <c r="C424">
        <f t="shared" si="36"/>
        <v>0.745</v>
      </c>
      <c r="D424">
        <f t="shared" si="37"/>
        <v>331.8</v>
      </c>
      <c r="E424">
        <v>58.8</v>
      </c>
      <c r="H424">
        <f t="shared" si="41"/>
        <v>414</v>
      </c>
      <c r="I424">
        <f t="shared" si="38"/>
        <v>0.745</v>
      </c>
      <c r="K424">
        <f t="shared" si="39"/>
        <v>414</v>
      </c>
      <c r="L424" s="2">
        <f t="shared" si="40"/>
        <v>-0.58874212120515512</v>
      </c>
    </row>
    <row r="425" spans="1:12" x14ac:dyDescent="0.25">
      <c r="A425" s="4" t="s">
        <v>426</v>
      </c>
      <c r="B425" s="4">
        <v>149</v>
      </c>
      <c r="C425">
        <f t="shared" si="36"/>
        <v>0.745</v>
      </c>
      <c r="D425">
        <f t="shared" si="37"/>
        <v>331.8</v>
      </c>
      <c r="E425">
        <v>58.8</v>
      </c>
      <c r="H425">
        <f t="shared" si="41"/>
        <v>415</v>
      </c>
      <c r="I425">
        <f t="shared" si="38"/>
        <v>0.745</v>
      </c>
      <c r="K425">
        <f t="shared" si="39"/>
        <v>415</v>
      </c>
      <c r="L425" s="2">
        <f t="shared" si="40"/>
        <v>-0.58874212120515512</v>
      </c>
    </row>
    <row r="426" spans="1:12" x14ac:dyDescent="0.25">
      <c r="A426" s="4" t="s">
        <v>427</v>
      </c>
      <c r="B426" s="4">
        <v>149</v>
      </c>
      <c r="C426">
        <f t="shared" si="36"/>
        <v>0.745</v>
      </c>
      <c r="D426">
        <f t="shared" si="37"/>
        <v>331.8</v>
      </c>
      <c r="E426">
        <v>58.8</v>
      </c>
      <c r="H426">
        <f t="shared" si="41"/>
        <v>416</v>
      </c>
      <c r="I426">
        <f t="shared" si="38"/>
        <v>0.745</v>
      </c>
      <c r="K426">
        <f t="shared" si="39"/>
        <v>416</v>
      </c>
      <c r="L426" s="2">
        <f t="shared" si="40"/>
        <v>-0.58874212120515512</v>
      </c>
    </row>
    <row r="427" spans="1:12" x14ac:dyDescent="0.25">
      <c r="A427" s="4" t="s">
        <v>428</v>
      </c>
      <c r="B427" s="4">
        <v>149</v>
      </c>
      <c r="C427">
        <f t="shared" si="36"/>
        <v>0.745</v>
      </c>
      <c r="D427">
        <f t="shared" si="37"/>
        <v>331.8</v>
      </c>
      <c r="E427">
        <v>58.8</v>
      </c>
      <c r="H427">
        <f t="shared" si="41"/>
        <v>417</v>
      </c>
      <c r="I427">
        <f t="shared" si="38"/>
        <v>0.745</v>
      </c>
      <c r="K427">
        <f t="shared" si="39"/>
        <v>417</v>
      </c>
      <c r="L427" s="2">
        <f t="shared" si="40"/>
        <v>-0.58874212120515512</v>
      </c>
    </row>
    <row r="428" spans="1:12" x14ac:dyDescent="0.25">
      <c r="A428" s="4" t="s">
        <v>429</v>
      </c>
      <c r="B428" s="4">
        <v>149</v>
      </c>
      <c r="C428">
        <f t="shared" si="36"/>
        <v>0.745</v>
      </c>
      <c r="D428">
        <f t="shared" si="37"/>
        <v>331.8</v>
      </c>
      <c r="E428">
        <v>58.8</v>
      </c>
      <c r="H428">
        <f t="shared" si="41"/>
        <v>418</v>
      </c>
      <c r="I428">
        <f t="shared" si="38"/>
        <v>0.745</v>
      </c>
      <c r="K428">
        <f t="shared" si="39"/>
        <v>418</v>
      </c>
      <c r="L428" s="2">
        <f t="shared" si="40"/>
        <v>-0.58874212120515512</v>
      </c>
    </row>
    <row r="429" spans="1:12" x14ac:dyDescent="0.25">
      <c r="A429" s="4" t="s">
        <v>430</v>
      </c>
      <c r="B429" s="4">
        <v>149</v>
      </c>
      <c r="C429">
        <f t="shared" si="36"/>
        <v>0.745</v>
      </c>
      <c r="D429">
        <f t="shared" si="37"/>
        <v>331.8</v>
      </c>
      <c r="E429">
        <v>58.8</v>
      </c>
      <c r="H429">
        <f t="shared" si="41"/>
        <v>419</v>
      </c>
      <c r="I429">
        <f t="shared" si="38"/>
        <v>0.745</v>
      </c>
      <c r="K429">
        <f t="shared" si="39"/>
        <v>419</v>
      </c>
      <c r="L429" s="2">
        <f t="shared" si="40"/>
        <v>-0.58874212120515512</v>
      </c>
    </row>
    <row r="430" spans="1:12" x14ac:dyDescent="0.25">
      <c r="A430" s="4" t="s">
        <v>431</v>
      </c>
      <c r="B430" s="4">
        <v>149</v>
      </c>
      <c r="C430">
        <f t="shared" si="36"/>
        <v>0.745</v>
      </c>
      <c r="D430">
        <f t="shared" si="37"/>
        <v>331.8</v>
      </c>
      <c r="E430">
        <v>58.8</v>
      </c>
      <c r="H430">
        <f t="shared" si="41"/>
        <v>420</v>
      </c>
      <c r="I430">
        <f t="shared" si="38"/>
        <v>0.745</v>
      </c>
      <c r="K430">
        <f t="shared" si="39"/>
        <v>420</v>
      </c>
      <c r="L430" s="2">
        <f t="shared" si="40"/>
        <v>-0.58874212120515512</v>
      </c>
    </row>
    <row r="431" spans="1:12" x14ac:dyDescent="0.25">
      <c r="A431" s="4" t="s">
        <v>432</v>
      </c>
      <c r="B431" s="4">
        <v>149</v>
      </c>
      <c r="C431">
        <f t="shared" si="36"/>
        <v>0.745</v>
      </c>
      <c r="D431">
        <f t="shared" si="37"/>
        <v>331.8</v>
      </c>
      <c r="E431">
        <v>58.8</v>
      </c>
      <c r="H431">
        <f t="shared" si="41"/>
        <v>421</v>
      </c>
      <c r="I431">
        <f t="shared" si="38"/>
        <v>0.745</v>
      </c>
      <c r="K431">
        <f t="shared" si="39"/>
        <v>421</v>
      </c>
      <c r="L431" s="2">
        <f t="shared" si="40"/>
        <v>-0.58874212120515512</v>
      </c>
    </row>
    <row r="432" spans="1:12" x14ac:dyDescent="0.25">
      <c r="A432" s="4" t="s">
        <v>433</v>
      </c>
      <c r="B432" s="4">
        <v>149</v>
      </c>
      <c r="C432">
        <f t="shared" si="36"/>
        <v>0.745</v>
      </c>
      <c r="D432">
        <f t="shared" si="37"/>
        <v>331.7</v>
      </c>
      <c r="E432">
        <v>58.7</v>
      </c>
      <c r="H432">
        <f t="shared" si="41"/>
        <v>422</v>
      </c>
      <c r="I432">
        <f t="shared" si="38"/>
        <v>0.745</v>
      </c>
      <c r="K432">
        <f t="shared" si="39"/>
        <v>422</v>
      </c>
      <c r="L432" s="2">
        <f t="shared" si="40"/>
        <v>-0.58874212120515512</v>
      </c>
    </row>
    <row r="433" spans="1:12" x14ac:dyDescent="0.25">
      <c r="A433" s="4" t="s">
        <v>434</v>
      </c>
      <c r="B433" s="4">
        <v>149</v>
      </c>
      <c r="C433">
        <f t="shared" si="36"/>
        <v>0.745</v>
      </c>
      <c r="D433">
        <f t="shared" si="37"/>
        <v>331.7</v>
      </c>
      <c r="E433">
        <v>58.7</v>
      </c>
      <c r="H433">
        <f t="shared" si="41"/>
        <v>423</v>
      </c>
      <c r="I433">
        <f t="shared" si="38"/>
        <v>0.745</v>
      </c>
      <c r="K433">
        <f t="shared" si="39"/>
        <v>423</v>
      </c>
      <c r="L433" s="2">
        <f t="shared" si="40"/>
        <v>-0.58874212120515512</v>
      </c>
    </row>
    <row r="434" spans="1:12" x14ac:dyDescent="0.25">
      <c r="A434" s="4" t="s">
        <v>435</v>
      </c>
      <c r="B434" s="4">
        <v>148</v>
      </c>
      <c r="C434">
        <f t="shared" si="36"/>
        <v>0.74</v>
      </c>
      <c r="D434">
        <f t="shared" si="37"/>
        <v>331.7</v>
      </c>
      <c r="E434">
        <v>58.7</v>
      </c>
      <c r="H434">
        <f t="shared" si="41"/>
        <v>424</v>
      </c>
      <c r="I434">
        <f t="shared" si="38"/>
        <v>0.74</v>
      </c>
      <c r="K434">
        <f t="shared" si="39"/>
        <v>424</v>
      </c>
      <c r="L434" s="2">
        <f t="shared" si="40"/>
        <v>-0.60221018556784323</v>
      </c>
    </row>
    <row r="435" spans="1:12" x14ac:dyDescent="0.25">
      <c r="A435" s="4" t="s">
        <v>436</v>
      </c>
      <c r="B435" s="4">
        <v>148</v>
      </c>
      <c r="C435">
        <f t="shared" si="36"/>
        <v>0.74</v>
      </c>
      <c r="D435">
        <f t="shared" si="37"/>
        <v>331.6</v>
      </c>
      <c r="E435">
        <v>58.6</v>
      </c>
      <c r="H435">
        <f t="shared" si="41"/>
        <v>425</v>
      </c>
      <c r="I435">
        <f t="shared" si="38"/>
        <v>0.74</v>
      </c>
      <c r="K435">
        <f t="shared" si="39"/>
        <v>425</v>
      </c>
      <c r="L435" s="2">
        <f t="shared" si="40"/>
        <v>-0.60221018556784323</v>
      </c>
    </row>
    <row r="436" spans="1:12" x14ac:dyDescent="0.25">
      <c r="A436" s="4" t="s">
        <v>437</v>
      </c>
      <c r="B436" s="4">
        <v>147</v>
      </c>
      <c r="C436">
        <f t="shared" si="36"/>
        <v>0.73499999999999999</v>
      </c>
      <c r="D436">
        <f t="shared" si="37"/>
        <v>331.6</v>
      </c>
      <c r="E436">
        <v>58.6</v>
      </c>
      <c r="H436">
        <f t="shared" si="41"/>
        <v>426</v>
      </c>
      <c r="I436">
        <f t="shared" si="38"/>
        <v>0.73499999999999999</v>
      </c>
      <c r="K436">
        <f t="shared" si="39"/>
        <v>426</v>
      </c>
      <c r="L436" s="2">
        <f t="shared" si="40"/>
        <v>-0.6157695595386008</v>
      </c>
    </row>
    <row r="437" spans="1:12" x14ac:dyDescent="0.25">
      <c r="A437" s="4" t="s">
        <v>438</v>
      </c>
      <c r="B437" s="4">
        <v>147</v>
      </c>
      <c r="C437">
        <f t="shared" si="36"/>
        <v>0.73499999999999999</v>
      </c>
      <c r="D437">
        <f t="shared" si="37"/>
        <v>331.6</v>
      </c>
      <c r="E437">
        <v>58.6</v>
      </c>
      <c r="H437">
        <f t="shared" si="41"/>
        <v>427</v>
      </c>
      <c r="I437">
        <f t="shared" si="38"/>
        <v>0.73499999999999999</v>
      </c>
      <c r="K437">
        <f t="shared" si="39"/>
        <v>427</v>
      </c>
      <c r="L437" s="2">
        <f t="shared" si="40"/>
        <v>-0.6157695595386008</v>
      </c>
    </row>
    <row r="438" spans="1:12" x14ac:dyDescent="0.25">
      <c r="A438" s="4" t="s">
        <v>439</v>
      </c>
      <c r="B438" s="4">
        <v>148</v>
      </c>
      <c r="C438">
        <f t="shared" si="36"/>
        <v>0.74</v>
      </c>
      <c r="D438">
        <f t="shared" si="37"/>
        <v>331.5</v>
      </c>
      <c r="E438">
        <v>58.5</v>
      </c>
      <c r="H438">
        <f t="shared" si="41"/>
        <v>428</v>
      </c>
      <c r="I438">
        <f t="shared" si="38"/>
        <v>0.74</v>
      </c>
      <c r="K438">
        <f t="shared" si="39"/>
        <v>428</v>
      </c>
      <c r="L438" s="2">
        <f t="shared" si="40"/>
        <v>-0.60221018556784323</v>
      </c>
    </row>
    <row r="439" spans="1:12" x14ac:dyDescent="0.25">
      <c r="A439" s="4" t="s">
        <v>440</v>
      </c>
      <c r="B439" s="4">
        <v>148</v>
      </c>
      <c r="C439">
        <f t="shared" si="36"/>
        <v>0.74</v>
      </c>
      <c r="D439">
        <f t="shared" si="37"/>
        <v>331.5</v>
      </c>
      <c r="E439">
        <v>58.5</v>
      </c>
      <c r="H439">
        <f t="shared" si="41"/>
        <v>429</v>
      </c>
      <c r="I439">
        <f t="shared" si="38"/>
        <v>0.74</v>
      </c>
      <c r="K439">
        <f t="shared" si="39"/>
        <v>429</v>
      </c>
      <c r="L439" s="2">
        <f t="shared" si="40"/>
        <v>-0.60221018556784323</v>
      </c>
    </row>
    <row r="440" spans="1:12" x14ac:dyDescent="0.25">
      <c r="A440" s="4" t="s">
        <v>441</v>
      </c>
      <c r="B440" s="4">
        <v>147</v>
      </c>
      <c r="C440">
        <f t="shared" si="36"/>
        <v>0.73499999999999999</v>
      </c>
      <c r="D440">
        <f t="shared" si="37"/>
        <v>331.5</v>
      </c>
      <c r="E440">
        <v>58.5</v>
      </c>
      <c r="H440">
        <f t="shared" si="41"/>
        <v>430</v>
      </c>
      <c r="I440">
        <f t="shared" si="38"/>
        <v>0.73499999999999999</v>
      </c>
      <c r="K440">
        <f t="shared" si="39"/>
        <v>430</v>
      </c>
      <c r="L440" s="2">
        <f t="shared" si="40"/>
        <v>-0.6157695595386008</v>
      </c>
    </row>
    <row r="441" spans="1:12" x14ac:dyDescent="0.25">
      <c r="A441" s="4" t="s">
        <v>442</v>
      </c>
      <c r="B441" s="4">
        <v>146</v>
      </c>
      <c r="C441">
        <f t="shared" si="36"/>
        <v>0.73</v>
      </c>
      <c r="D441">
        <f t="shared" si="37"/>
        <v>331.5</v>
      </c>
      <c r="E441">
        <v>58.5</v>
      </c>
      <c r="H441">
        <f t="shared" si="41"/>
        <v>431</v>
      </c>
      <c r="I441">
        <f t="shared" si="38"/>
        <v>0.73</v>
      </c>
      <c r="K441">
        <f t="shared" si="39"/>
        <v>431</v>
      </c>
      <c r="L441" s="2">
        <f t="shared" si="40"/>
        <v>-0.62942148967940059</v>
      </c>
    </row>
    <row r="442" spans="1:12" x14ac:dyDescent="0.25">
      <c r="A442" s="4" t="s">
        <v>443</v>
      </c>
      <c r="B442" s="4">
        <v>146</v>
      </c>
      <c r="C442">
        <f t="shared" si="36"/>
        <v>0.73</v>
      </c>
      <c r="D442">
        <f t="shared" si="37"/>
        <v>331.3</v>
      </c>
      <c r="E442">
        <v>58.3</v>
      </c>
      <c r="H442">
        <f t="shared" si="41"/>
        <v>432</v>
      </c>
      <c r="I442">
        <f t="shared" si="38"/>
        <v>0.73</v>
      </c>
      <c r="K442">
        <f t="shared" si="39"/>
        <v>432</v>
      </c>
      <c r="L442" s="2">
        <f t="shared" si="40"/>
        <v>-0.62942148967940059</v>
      </c>
    </row>
    <row r="443" spans="1:12" x14ac:dyDescent="0.25">
      <c r="A443" s="4" t="s">
        <v>444</v>
      </c>
      <c r="B443" s="4">
        <v>146</v>
      </c>
      <c r="C443">
        <f t="shared" si="36"/>
        <v>0.73</v>
      </c>
      <c r="D443">
        <f t="shared" si="37"/>
        <v>331.3</v>
      </c>
      <c r="E443">
        <v>58.3</v>
      </c>
      <c r="H443">
        <f t="shared" si="41"/>
        <v>433</v>
      </c>
      <c r="I443">
        <f t="shared" si="38"/>
        <v>0.73</v>
      </c>
      <c r="K443">
        <f t="shared" si="39"/>
        <v>433</v>
      </c>
      <c r="L443" s="2">
        <f t="shared" si="40"/>
        <v>-0.62942148967940059</v>
      </c>
    </row>
    <row r="444" spans="1:12" x14ac:dyDescent="0.25">
      <c r="A444" s="4" t="s">
        <v>445</v>
      </c>
      <c r="B444" s="4">
        <v>147</v>
      </c>
      <c r="C444">
        <f t="shared" si="36"/>
        <v>0.73499999999999999</v>
      </c>
      <c r="D444">
        <f t="shared" si="37"/>
        <v>331.3</v>
      </c>
      <c r="E444">
        <v>58.3</v>
      </c>
      <c r="H444">
        <f t="shared" si="41"/>
        <v>434</v>
      </c>
      <c r="I444">
        <f t="shared" si="38"/>
        <v>0.73499999999999999</v>
      </c>
      <c r="K444">
        <f t="shared" si="39"/>
        <v>434</v>
      </c>
      <c r="L444" s="2">
        <f t="shared" si="40"/>
        <v>-0.6157695595386008</v>
      </c>
    </row>
    <row r="445" spans="1:12" x14ac:dyDescent="0.25">
      <c r="A445" s="4" t="s">
        <v>446</v>
      </c>
      <c r="B445" s="4">
        <v>147</v>
      </c>
      <c r="C445">
        <f t="shared" si="36"/>
        <v>0.73499999999999999</v>
      </c>
      <c r="D445">
        <f t="shared" si="37"/>
        <v>331.1</v>
      </c>
      <c r="E445">
        <v>58.1</v>
      </c>
      <c r="H445">
        <f t="shared" si="41"/>
        <v>435</v>
      </c>
      <c r="I445">
        <f t="shared" si="38"/>
        <v>0.73499999999999999</v>
      </c>
      <c r="K445">
        <f t="shared" si="39"/>
        <v>435</v>
      </c>
      <c r="L445" s="2">
        <f t="shared" si="40"/>
        <v>-0.6157695595386008</v>
      </c>
    </row>
    <row r="446" spans="1:12" x14ac:dyDescent="0.25">
      <c r="A446" s="4" t="s">
        <v>447</v>
      </c>
      <c r="B446" s="4">
        <v>149</v>
      </c>
      <c r="C446">
        <f t="shared" si="36"/>
        <v>0.745</v>
      </c>
      <c r="D446">
        <f t="shared" si="37"/>
        <v>331.1</v>
      </c>
      <c r="E446">
        <v>58.1</v>
      </c>
      <c r="H446">
        <f t="shared" si="41"/>
        <v>436</v>
      </c>
      <c r="I446">
        <f t="shared" si="38"/>
        <v>0.745</v>
      </c>
      <c r="K446">
        <f t="shared" si="39"/>
        <v>436</v>
      </c>
      <c r="L446" s="2">
        <f t="shared" si="40"/>
        <v>-0.58874212120515512</v>
      </c>
    </row>
    <row r="447" spans="1:12" x14ac:dyDescent="0.25">
      <c r="A447" s="4" t="s">
        <v>448</v>
      </c>
      <c r="B447" s="4">
        <v>147</v>
      </c>
      <c r="C447">
        <f t="shared" si="36"/>
        <v>0.73499999999999999</v>
      </c>
      <c r="D447">
        <f t="shared" si="37"/>
        <v>331.1</v>
      </c>
      <c r="E447">
        <v>58.1</v>
      </c>
      <c r="H447">
        <f t="shared" si="41"/>
        <v>437</v>
      </c>
      <c r="I447">
        <f t="shared" si="38"/>
        <v>0.73499999999999999</v>
      </c>
      <c r="K447">
        <f t="shared" si="39"/>
        <v>437</v>
      </c>
      <c r="L447" s="2">
        <f t="shared" si="40"/>
        <v>-0.6157695595386008</v>
      </c>
    </row>
    <row r="448" spans="1:12" x14ac:dyDescent="0.25">
      <c r="A448" s="4" t="s">
        <v>449</v>
      </c>
      <c r="B448" s="4">
        <v>148</v>
      </c>
      <c r="C448">
        <f t="shared" si="36"/>
        <v>0.74</v>
      </c>
      <c r="D448">
        <f t="shared" si="37"/>
        <v>331.1</v>
      </c>
      <c r="E448">
        <v>58.1</v>
      </c>
      <c r="H448">
        <f t="shared" si="41"/>
        <v>438</v>
      </c>
      <c r="I448">
        <f t="shared" si="38"/>
        <v>0.74</v>
      </c>
      <c r="K448">
        <f t="shared" si="39"/>
        <v>438</v>
      </c>
      <c r="L448" s="2">
        <f t="shared" si="40"/>
        <v>-0.60221018556784323</v>
      </c>
    </row>
    <row r="449" spans="1:12" x14ac:dyDescent="0.25">
      <c r="A449" s="4" t="s">
        <v>450</v>
      </c>
      <c r="B449" s="4">
        <v>147</v>
      </c>
      <c r="C449">
        <f t="shared" si="36"/>
        <v>0.73499999999999999</v>
      </c>
      <c r="D449">
        <f t="shared" si="37"/>
        <v>331.1</v>
      </c>
      <c r="E449">
        <v>58.1</v>
      </c>
      <c r="H449">
        <f t="shared" si="41"/>
        <v>439</v>
      </c>
      <c r="I449">
        <f t="shared" si="38"/>
        <v>0.73499999999999999</v>
      </c>
      <c r="K449">
        <f t="shared" si="39"/>
        <v>439</v>
      </c>
      <c r="L449" s="2">
        <f t="shared" si="40"/>
        <v>-0.6157695595386008</v>
      </c>
    </row>
    <row r="450" spans="1:12" x14ac:dyDescent="0.25">
      <c r="A450" s="4" t="s">
        <v>451</v>
      </c>
      <c r="B450" s="4">
        <v>147</v>
      </c>
      <c r="C450">
        <f t="shared" si="36"/>
        <v>0.73499999999999999</v>
      </c>
      <c r="D450">
        <f t="shared" si="37"/>
        <v>331.1</v>
      </c>
      <c r="E450">
        <v>58.1</v>
      </c>
      <c r="H450">
        <f t="shared" si="41"/>
        <v>440</v>
      </c>
      <c r="I450">
        <f t="shared" si="38"/>
        <v>0.73499999999999999</v>
      </c>
      <c r="K450">
        <f t="shared" si="39"/>
        <v>440</v>
      </c>
      <c r="L450" s="2">
        <f t="shared" si="40"/>
        <v>-0.6157695595386008</v>
      </c>
    </row>
    <row r="451" spans="1:12" x14ac:dyDescent="0.25">
      <c r="A451" s="4" t="s">
        <v>452</v>
      </c>
      <c r="B451" s="4">
        <v>149</v>
      </c>
      <c r="C451">
        <f t="shared" si="36"/>
        <v>0.745</v>
      </c>
      <c r="D451">
        <f t="shared" si="37"/>
        <v>331.1</v>
      </c>
      <c r="E451">
        <v>58.1</v>
      </c>
      <c r="H451">
        <f t="shared" si="41"/>
        <v>441</v>
      </c>
      <c r="I451">
        <f t="shared" si="38"/>
        <v>0.745</v>
      </c>
      <c r="K451">
        <f t="shared" si="39"/>
        <v>441</v>
      </c>
      <c r="L451" s="2">
        <f t="shared" si="40"/>
        <v>-0.58874212120515512</v>
      </c>
    </row>
    <row r="452" spans="1:12" x14ac:dyDescent="0.25">
      <c r="A452" s="4" t="s">
        <v>453</v>
      </c>
      <c r="B452" s="4">
        <v>148</v>
      </c>
      <c r="C452">
        <f t="shared" si="36"/>
        <v>0.74</v>
      </c>
      <c r="D452">
        <f t="shared" si="37"/>
        <v>331.1</v>
      </c>
      <c r="E452">
        <v>58.1</v>
      </c>
      <c r="H452">
        <f t="shared" si="41"/>
        <v>442</v>
      </c>
      <c r="I452">
        <f t="shared" si="38"/>
        <v>0.74</v>
      </c>
      <c r="K452">
        <f t="shared" si="39"/>
        <v>442</v>
      </c>
      <c r="L452" s="2">
        <f t="shared" si="40"/>
        <v>-0.60221018556784323</v>
      </c>
    </row>
    <row r="453" spans="1:12" x14ac:dyDescent="0.25">
      <c r="A453" s="4" t="s">
        <v>454</v>
      </c>
      <c r="B453" s="4">
        <v>148</v>
      </c>
      <c r="C453">
        <f t="shared" si="36"/>
        <v>0.74</v>
      </c>
      <c r="D453">
        <f t="shared" si="37"/>
        <v>331.1</v>
      </c>
      <c r="E453">
        <v>58.1</v>
      </c>
      <c r="H453">
        <f t="shared" si="41"/>
        <v>443</v>
      </c>
      <c r="I453">
        <f t="shared" si="38"/>
        <v>0.74</v>
      </c>
      <c r="K453">
        <f t="shared" si="39"/>
        <v>443</v>
      </c>
      <c r="L453" s="2">
        <f t="shared" si="40"/>
        <v>-0.60221018556784323</v>
      </c>
    </row>
    <row r="454" spans="1:12" x14ac:dyDescent="0.25">
      <c r="A454" s="4" t="s">
        <v>455</v>
      </c>
      <c r="B454" s="4">
        <v>149</v>
      </c>
      <c r="C454">
        <f t="shared" si="36"/>
        <v>0.745</v>
      </c>
      <c r="D454">
        <f t="shared" si="37"/>
        <v>330.9</v>
      </c>
      <c r="E454">
        <v>57.9</v>
      </c>
      <c r="H454">
        <f t="shared" si="41"/>
        <v>444</v>
      </c>
      <c r="I454">
        <f t="shared" si="38"/>
        <v>0.745</v>
      </c>
      <c r="K454">
        <f t="shared" si="39"/>
        <v>444</v>
      </c>
      <c r="L454" s="2">
        <f t="shared" si="40"/>
        <v>-0.58874212120515512</v>
      </c>
    </row>
    <row r="455" spans="1:12" x14ac:dyDescent="0.25">
      <c r="A455" s="4" t="s">
        <v>456</v>
      </c>
      <c r="B455" s="4">
        <v>148</v>
      </c>
      <c r="C455">
        <f t="shared" si="36"/>
        <v>0.74</v>
      </c>
      <c r="D455">
        <f t="shared" si="37"/>
        <v>330.9</v>
      </c>
      <c r="E455">
        <v>57.9</v>
      </c>
      <c r="H455">
        <f t="shared" si="41"/>
        <v>445</v>
      </c>
      <c r="I455">
        <f t="shared" si="38"/>
        <v>0.74</v>
      </c>
      <c r="K455">
        <f t="shared" si="39"/>
        <v>445</v>
      </c>
      <c r="L455" s="2">
        <f t="shared" si="40"/>
        <v>-0.60221018556784323</v>
      </c>
    </row>
    <row r="456" spans="1:12" x14ac:dyDescent="0.25">
      <c r="A456" s="4" t="s">
        <v>457</v>
      </c>
      <c r="B456" s="4">
        <v>147</v>
      </c>
      <c r="C456">
        <f t="shared" si="36"/>
        <v>0.73499999999999999</v>
      </c>
      <c r="D456">
        <f t="shared" si="37"/>
        <v>330.9</v>
      </c>
      <c r="E456">
        <v>57.9</v>
      </c>
      <c r="H456">
        <f t="shared" si="41"/>
        <v>446</v>
      </c>
      <c r="I456">
        <f t="shared" si="38"/>
        <v>0.73499999999999999</v>
      </c>
      <c r="K456">
        <f t="shared" si="39"/>
        <v>446</v>
      </c>
      <c r="L456" s="2">
        <f t="shared" si="40"/>
        <v>-0.6157695595386008</v>
      </c>
    </row>
    <row r="457" spans="1:12" x14ac:dyDescent="0.25">
      <c r="A457" s="4" t="s">
        <v>458</v>
      </c>
      <c r="B457" s="4">
        <v>146</v>
      </c>
      <c r="C457">
        <f t="shared" si="36"/>
        <v>0.73</v>
      </c>
      <c r="D457">
        <f t="shared" si="37"/>
        <v>330.9</v>
      </c>
      <c r="E457">
        <v>57.9</v>
      </c>
      <c r="H457">
        <f t="shared" si="41"/>
        <v>447</v>
      </c>
      <c r="I457">
        <f t="shared" si="38"/>
        <v>0.73</v>
      </c>
      <c r="K457">
        <f t="shared" si="39"/>
        <v>447</v>
      </c>
      <c r="L457" s="2">
        <f t="shared" si="40"/>
        <v>-0.62942148967940059</v>
      </c>
    </row>
    <row r="458" spans="1:12" x14ac:dyDescent="0.25">
      <c r="A458" s="4" t="s">
        <v>459</v>
      </c>
      <c r="B458" s="4">
        <v>147</v>
      </c>
      <c r="C458">
        <f t="shared" si="36"/>
        <v>0.73499999999999999</v>
      </c>
      <c r="D458">
        <f t="shared" si="37"/>
        <v>330.8</v>
      </c>
      <c r="E458">
        <v>57.8</v>
      </c>
      <c r="H458">
        <f t="shared" si="41"/>
        <v>448</v>
      </c>
      <c r="I458">
        <f t="shared" si="38"/>
        <v>0.73499999999999999</v>
      </c>
      <c r="K458">
        <f t="shared" si="39"/>
        <v>448</v>
      </c>
      <c r="L458" s="2">
        <f t="shared" si="40"/>
        <v>-0.6157695595386008</v>
      </c>
    </row>
    <row r="459" spans="1:12" x14ac:dyDescent="0.25">
      <c r="A459" s="4" t="s">
        <v>460</v>
      </c>
      <c r="B459" s="4">
        <v>146</v>
      </c>
      <c r="C459">
        <f t="shared" ref="C459:C521" si="42">B459/200</f>
        <v>0.73</v>
      </c>
      <c r="D459">
        <f t="shared" ref="D459:D521" si="43">273+E459</f>
        <v>330.8</v>
      </c>
      <c r="E459">
        <v>57.8</v>
      </c>
      <c r="H459">
        <f t="shared" si="41"/>
        <v>449</v>
      </c>
      <c r="I459">
        <f t="shared" ref="I459:I521" si="44">C459</f>
        <v>0.73</v>
      </c>
      <c r="K459">
        <f t="shared" ref="K459:K521" si="45">H459</f>
        <v>449</v>
      </c>
      <c r="L459" s="2">
        <f t="shared" ref="L459:L521" si="46">LN(I459*I459)</f>
        <v>-0.62942148967940059</v>
      </c>
    </row>
    <row r="460" spans="1:12" x14ac:dyDescent="0.25">
      <c r="A460" s="4" t="s">
        <v>461</v>
      </c>
      <c r="B460" s="4">
        <v>148</v>
      </c>
      <c r="C460">
        <f t="shared" si="42"/>
        <v>0.74</v>
      </c>
      <c r="D460">
        <f t="shared" si="43"/>
        <v>330.8</v>
      </c>
      <c r="E460">
        <v>57.8</v>
      </c>
      <c r="H460">
        <f t="shared" ref="H460:H521" si="47">H459+1</f>
        <v>450</v>
      </c>
      <c r="I460">
        <f t="shared" si="44"/>
        <v>0.74</v>
      </c>
      <c r="K460">
        <f t="shared" si="45"/>
        <v>450</v>
      </c>
      <c r="L460" s="2">
        <f t="shared" si="46"/>
        <v>-0.60221018556784323</v>
      </c>
    </row>
    <row r="461" spans="1:12" x14ac:dyDescent="0.25">
      <c r="A461" s="4" t="s">
        <v>462</v>
      </c>
      <c r="B461" s="4">
        <v>147</v>
      </c>
      <c r="C461">
        <f t="shared" si="42"/>
        <v>0.73499999999999999</v>
      </c>
      <c r="D461">
        <f t="shared" si="43"/>
        <v>330.8</v>
      </c>
      <c r="E461">
        <v>57.8</v>
      </c>
      <c r="H461">
        <f t="shared" si="47"/>
        <v>451</v>
      </c>
      <c r="I461">
        <f t="shared" si="44"/>
        <v>0.73499999999999999</v>
      </c>
      <c r="K461">
        <f t="shared" si="45"/>
        <v>451</v>
      </c>
      <c r="L461" s="2">
        <f t="shared" si="46"/>
        <v>-0.6157695595386008</v>
      </c>
    </row>
    <row r="462" spans="1:12" x14ac:dyDescent="0.25">
      <c r="A462" s="4" t="s">
        <v>463</v>
      </c>
      <c r="B462" s="4">
        <v>147</v>
      </c>
      <c r="C462">
        <f t="shared" si="42"/>
        <v>0.73499999999999999</v>
      </c>
      <c r="D462">
        <f t="shared" si="43"/>
        <v>330.8</v>
      </c>
      <c r="E462">
        <v>57.8</v>
      </c>
      <c r="H462">
        <f t="shared" si="47"/>
        <v>452</v>
      </c>
      <c r="I462">
        <f t="shared" si="44"/>
        <v>0.73499999999999999</v>
      </c>
      <c r="K462">
        <f t="shared" si="45"/>
        <v>452</v>
      </c>
      <c r="L462" s="2">
        <f t="shared" si="46"/>
        <v>-0.6157695595386008</v>
      </c>
    </row>
    <row r="463" spans="1:12" x14ac:dyDescent="0.25">
      <c r="A463" s="4" t="s">
        <v>464</v>
      </c>
      <c r="B463" s="4">
        <v>148</v>
      </c>
      <c r="C463">
        <f t="shared" si="42"/>
        <v>0.74</v>
      </c>
      <c r="D463">
        <f t="shared" si="43"/>
        <v>330.8</v>
      </c>
      <c r="E463">
        <v>57.8</v>
      </c>
      <c r="H463">
        <f t="shared" si="47"/>
        <v>453</v>
      </c>
      <c r="I463">
        <f t="shared" si="44"/>
        <v>0.74</v>
      </c>
      <c r="K463">
        <f t="shared" si="45"/>
        <v>453</v>
      </c>
      <c r="L463" s="2">
        <f t="shared" si="46"/>
        <v>-0.60221018556784323</v>
      </c>
    </row>
    <row r="464" spans="1:12" x14ac:dyDescent="0.25">
      <c r="A464" s="4" t="s">
        <v>465</v>
      </c>
      <c r="B464" s="4">
        <v>147</v>
      </c>
      <c r="C464">
        <f t="shared" si="42"/>
        <v>0.73499999999999999</v>
      </c>
      <c r="D464">
        <f t="shared" si="43"/>
        <v>330.7</v>
      </c>
      <c r="E464">
        <v>57.7</v>
      </c>
      <c r="H464">
        <f t="shared" si="47"/>
        <v>454</v>
      </c>
      <c r="I464">
        <f t="shared" si="44"/>
        <v>0.73499999999999999</v>
      </c>
      <c r="K464">
        <f t="shared" si="45"/>
        <v>454</v>
      </c>
      <c r="L464" s="2">
        <f t="shared" si="46"/>
        <v>-0.6157695595386008</v>
      </c>
    </row>
    <row r="465" spans="1:12" x14ac:dyDescent="0.25">
      <c r="A465" s="4" t="s">
        <v>466</v>
      </c>
      <c r="B465" s="4">
        <v>146</v>
      </c>
      <c r="C465">
        <f t="shared" si="42"/>
        <v>0.73</v>
      </c>
      <c r="D465">
        <f t="shared" si="43"/>
        <v>330.7</v>
      </c>
      <c r="E465">
        <v>57.7</v>
      </c>
      <c r="H465">
        <f t="shared" si="47"/>
        <v>455</v>
      </c>
      <c r="I465">
        <f t="shared" si="44"/>
        <v>0.73</v>
      </c>
      <c r="K465">
        <f t="shared" si="45"/>
        <v>455</v>
      </c>
      <c r="L465" s="2">
        <f t="shared" si="46"/>
        <v>-0.62942148967940059</v>
      </c>
    </row>
    <row r="466" spans="1:12" x14ac:dyDescent="0.25">
      <c r="A466" s="4" t="s">
        <v>467</v>
      </c>
      <c r="B466" s="4">
        <v>148</v>
      </c>
      <c r="C466">
        <f t="shared" si="42"/>
        <v>0.74</v>
      </c>
      <c r="D466">
        <f t="shared" si="43"/>
        <v>330.7</v>
      </c>
      <c r="E466">
        <v>57.7</v>
      </c>
      <c r="H466">
        <f t="shared" si="47"/>
        <v>456</v>
      </c>
      <c r="I466">
        <f t="shared" si="44"/>
        <v>0.74</v>
      </c>
      <c r="K466">
        <f t="shared" si="45"/>
        <v>456</v>
      </c>
      <c r="L466" s="2">
        <f t="shared" si="46"/>
        <v>-0.60221018556784323</v>
      </c>
    </row>
    <row r="467" spans="1:12" x14ac:dyDescent="0.25">
      <c r="A467" s="4" t="s">
        <v>468</v>
      </c>
      <c r="B467" s="4">
        <v>145</v>
      </c>
      <c r="C467">
        <f t="shared" si="42"/>
        <v>0.72499999999999998</v>
      </c>
      <c r="D467">
        <f t="shared" si="43"/>
        <v>330.7</v>
      </c>
      <c r="E467">
        <v>57.7</v>
      </c>
      <c r="H467">
        <f t="shared" si="47"/>
        <v>457</v>
      </c>
      <c r="I467">
        <f t="shared" si="44"/>
        <v>0.72499999999999998</v>
      </c>
      <c r="K467">
        <f t="shared" si="45"/>
        <v>457</v>
      </c>
      <c r="L467" s="2">
        <f t="shared" si="46"/>
        <v>-0.64316724825492455</v>
      </c>
    </row>
    <row r="468" spans="1:12" x14ac:dyDescent="0.25">
      <c r="A468" s="4" t="s">
        <v>469</v>
      </c>
      <c r="B468" s="4">
        <v>147</v>
      </c>
      <c r="C468">
        <f t="shared" si="42"/>
        <v>0.73499999999999999</v>
      </c>
      <c r="D468">
        <f t="shared" si="43"/>
        <v>330.7</v>
      </c>
      <c r="E468">
        <v>57.7</v>
      </c>
      <c r="H468">
        <f t="shared" si="47"/>
        <v>458</v>
      </c>
      <c r="I468">
        <f t="shared" si="44"/>
        <v>0.73499999999999999</v>
      </c>
      <c r="K468">
        <f t="shared" si="45"/>
        <v>458</v>
      </c>
      <c r="L468" s="2">
        <f t="shared" si="46"/>
        <v>-0.6157695595386008</v>
      </c>
    </row>
    <row r="469" spans="1:12" x14ac:dyDescent="0.25">
      <c r="A469" s="4" t="s">
        <v>470</v>
      </c>
      <c r="B469" s="4">
        <v>145</v>
      </c>
      <c r="C469">
        <f t="shared" si="42"/>
        <v>0.72499999999999998</v>
      </c>
      <c r="D469">
        <f t="shared" si="43"/>
        <v>330.7</v>
      </c>
      <c r="E469">
        <v>57.7</v>
      </c>
      <c r="H469">
        <f t="shared" si="47"/>
        <v>459</v>
      </c>
      <c r="I469">
        <f t="shared" si="44"/>
        <v>0.72499999999999998</v>
      </c>
      <c r="K469">
        <f t="shared" si="45"/>
        <v>459</v>
      </c>
      <c r="L469" s="2">
        <f t="shared" si="46"/>
        <v>-0.64316724825492455</v>
      </c>
    </row>
    <row r="470" spans="1:12" x14ac:dyDescent="0.25">
      <c r="A470" s="4" t="s">
        <v>471</v>
      </c>
      <c r="B470" s="4">
        <v>143</v>
      </c>
      <c r="C470">
        <f t="shared" si="42"/>
        <v>0.71499999999999997</v>
      </c>
      <c r="D470">
        <f t="shared" si="43"/>
        <v>330.7</v>
      </c>
      <c r="E470">
        <v>57.7</v>
      </c>
      <c r="H470">
        <f t="shared" si="47"/>
        <v>460</v>
      </c>
      <c r="I470">
        <f t="shared" si="44"/>
        <v>0.71499999999999997</v>
      </c>
      <c r="K470">
        <f t="shared" si="45"/>
        <v>460</v>
      </c>
      <c r="L470" s="2">
        <f t="shared" si="46"/>
        <v>-0.67094547257625892</v>
      </c>
    </row>
    <row r="471" spans="1:12" x14ac:dyDescent="0.25">
      <c r="A471" s="4" t="s">
        <v>472</v>
      </c>
      <c r="B471" s="4">
        <v>148</v>
      </c>
      <c r="C471">
        <f t="shared" si="42"/>
        <v>0.74</v>
      </c>
      <c r="D471">
        <f t="shared" si="43"/>
        <v>330.7</v>
      </c>
      <c r="E471">
        <v>57.7</v>
      </c>
      <c r="H471">
        <f t="shared" si="47"/>
        <v>461</v>
      </c>
      <c r="I471">
        <f t="shared" si="44"/>
        <v>0.74</v>
      </c>
      <c r="K471">
        <f t="shared" si="45"/>
        <v>461</v>
      </c>
      <c r="L471" s="2">
        <f t="shared" si="46"/>
        <v>-0.60221018556784323</v>
      </c>
    </row>
    <row r="472" spans="1:12" x14ac:dyDescent="0.25">
      <c r="A472" s="4" t="s">
        <v>473</v>
      </c>
      <c r="B472" s="4">
        <v>145</v>
      </c>
      <c r="C472">
        <f t="shared" si="42"/>
        <v>0.72499999999999998</v>
      </c>
      <c r="D472">
        <f t="shared" si="43"/>
        <v>330.7</v>
      </c>
      <c r="E472">
        <v>57.7</v>
      </c>
      <c r="H472">
        <f t="shared" si="47"/>
        <v>462</v>
      </c>
      <c r="I472">
        <f t="shared" si="44"/>
        <v>0.72499999999999998</v>
      </c>
      <c r="K472">
        <f t="shared" si="45"/>
        <v>462</v>
      </c>
      <c r="L472" s="2">
        <f t="shared" si="46"/>
        <v>-0.64316724825492455</v>
      </c>
    </row>
    <row r="473" spans="1:12" x14ac:dyDescent="0.25">
      <c r="A473" s="4" t="s">
        <v>474</v>
      </c>
      <c r="B473" s="4">
        <v>145</v>
      </c>
      <c r="C473">
        <f t="shared" si="42"/>
        <v>0.72499999999999998</v>
      </c>
      <c r="D473">
        <f t="shared" si="43"/>
        <v>330.7</v>
      </c>
      <c r="E473">
        <v>57.7</v>
      </c>
      <c r="H473">
        <f t="shared" si="47"/>
        <v>463</v>
      </c>
      <c r="I473">
        <f t="shared" si="44"/>
        <v>0.72499999999999998</v>
      </c>
      <c r="K473">
        <f t="shared" si="45"/>
        <v>463</v>
      </c>
      <c r="L473" s="2">
        <f t="shared" si="46"/>
        <v>-0.64316724825492455</v>
      </c>
    </row>
    <row r="474" spans="1:12" x14ac:dyDescent="0.25">
      <c r="A474" s="4" t="s">
        <v>475</v>
      </c>
      <c r="B474" s="4">
        <v>145</v>
      </c>
      <c r="C474">
        <f t="shared" si="42"/>
        <v>0.72499999999999998</v>
      </c>
      <c r="D474">
        <f t="shared" si="43"/>
        <v>330.6</v>
      </c>
      <c r="E474">
        <v>57.6</v>
      </c>
      <c r="H474">
        <f t="shared" si="47"/>
        <v>464</v>
      </c>
      <c r="I474">
        <f t="shared" si="44"/>
        <v>0.72499999999999998</v>
      </c>
      <c r="K474">
        <f t="shared" si="45"/>
        <v>464</v>
      </c>
      <c r="L474" s="2">
        <f t="shared" si="46"/>
        <v>-0.64316724825492455</v>
      </c>
    </row>
    <row r="475" spans="1:12" x14ac:dyDescent="0.25">
      <c r="A475" s="4" t="s">
        <v>476</v>
      </c>
      <c r="B475" s="4">
        <v>145</v>
      </c>
      <c r="C475">
        <f t="shared" si="42"/>
        <v>0.72499999999999998</v>
      </c>
      <c r="D475">
        <f t="shared" si="43"/>
        <v>330.6</v>
      </c>
      <c r="E475">
        <v>57.6</v>
      </c>
      <c r="H475">
        <f t="shared" si="47"/>
        <v>465</v>
      </c>
      <c r="I475">
        <f t="shared" si="44"/>
        <v>0.72499999999999998</v>
      </c>
      <c r="K475">
        <f t="shared" si="45"/>
        <v>465</v>
      </c>
      <c r="L475" s="2">
        <f t="shared" si="46"/>
        <v>-0.64316724825492455</v>
      </c>
    </row>
    <row r="476" spans="1:12" x14ac:dyDescent="0.25">
      <c r="A476" s="4" t="s">
        <v>477</v>
      </c>
      <c r="B476" s="4">
        <v>146</v>
      </c>
      <c r="C476">
        <f t="shared" si="42"/>
        <v>0.73</v>
      </c>
      <c r="D476">
        <f t="shared" si="43"/>
        <v>330.6</v>
      </c>
      <c r="E476">
        <v>57.6</v>
      </c>
      <c r="H476">
        <f t="shared" si="47"/>
        <v>466</v>
      </c>
      <c r="I476">
        <f t="shared" si="44"/>
        <v>0.73</v>
      </c>
      <c r="K476">
        <f t="shared" si="45"/>
        <v>466</v>
      </c>
      <c r="L476" s="2">
        <f t="shared" si="46"/>
        <v>-0.62942148967940059</v>
      </c>
    </row>
    <row r="477" spans="1:12" x14ac:dyDescent="0.25">
      <c r="A477" s="4" t="s">
        <v>478</v>
      </c>
      <c r="B477" s="4">
        <v>143</v>
      </c>
      <c r="C477">
        <f t="shared" si="42"/>
        <v>0.71499999999999997</v>
      </c>
      <c r="D477">
        <f t="shared" si="43"/>
        <v>330.4</v>
      </c>
      <c r="E477">
        <v>57.4</v>
      </c>
      <c r="H477">
        <f t="shared" si="47"/>
        <v>467</v>
      </c>
      <c r="I477">
        <f t="shared" si="44"/>
        <v>0.71499999999999997</v>
      </c>
      <c r="K477">
        <f t="shared" si="45"/>
        <v>467</v>
      </c>
      <c r="L477" s="2">
        <f t="shared" si="46"/>
        <v>-0.67094547257625892</v>
      </c>
    </row>
    <row r="478" spans="1:12" x14ac:dyDescent="0.25">
      <c r="A478" s="4" t="s">
        <v>479</v>
      </c>
      <c r="B478" s="4">
        <v>144</v>
      </c>
      <c r="C478">
        <f t="shared" si="42"/>
        <v>0.72</v>
      </c>
      <c r="D478">
        <f t="shared" si="43"/>
        <v>330.4</v>
      </c>
      <c r="E478">
        <v>57.4</v>
      </c>
      <c r="H478">
        <f t="shared" si="47"/>
        <v>468</v>
      </c>
      <c r="I478">
        <f t="shared" si="44"/>
        <v>0.72</v>
      </c>
      <c r="K478">
        <f t="shared" si="45"/>
        <v>468</v>
      </c>
      <c r="L478" s="2">
        <f t="shared" si="46"/>
        <v>-0.6570081339440722</v>
      </c>
    </row>
    <row r="479" spans="1:12" x14ac:dyDescent="0.25">
      <c r="A479" s="4" t="s">
        <v>480</v>
      </c>
      <c r="B479" s="4">
        <v>145</v>
      </c>
      <c r="C479">
        <f t="shared" si="42"/>
        <v>0.72499999999999998</v>
      </c>
      <c r="D479">
        <f t="shared" si="43"/>
        <v>330.4</v>
      </c>
      <c r="E479">
        <v>57.4</v>
      </c>
      <c r="H479">
        <f t="shared" si="47"/>
        <v>469</v>
      </c>
      <c r="I479">
        <f t="shared" si="44"/>
        <v>0.72499999999999998</v>
      </c>
      <c r="K479">
        <f t="shared" si="45"/>
        <v>469</v>
      </c>
      <c r="L479" s="2">
        <f t="shared" si="46"/>
        <v>-0.64316724825492455</v>
      </c>
    </row>
    <row r="480" spans="1:12" x14ac:dyDescent="0.25">
      <c r="A480" s="4" t="s">
        <v>481</v>
      </c>
      <c r="B480" s="4">
        <v>144</v>
      </c>
      <c r="C480">
        <f t="shared" si="42"/>
        <v>0.72</v>
      </c>
      <c r="D480">
        <f t="shared" si="43"/>
        <v>330.2</v>
      </c>
      <c r="E480">
        <v>57.2</v>
      </c>
      <c r="H480">
        <f t="shared" si="47"/>
        <v>470</v>
      </c>
      <c r="I480">
        <f t="shared" si="44"/>
        <v>0.72</v>
      </c>
      <c r="K480">
        <f t="shared" si="45"/>
        <v>470</v>
      </c>
      <c r="L480" s="2">
        <f t="shared" si="46"/>
        <v>-0.6570081339440722</v>
      </c>
    </row>
    <row r="481" spans="1:12" x14ac:dyDescent="0.25">
      <c r="A481" s="4" t="s">
        <v>482</v>
      </c>
      <c r="B481" s="4">
        <v>144</v>
      </c>
      <c r="C481">
        <f t="shared" si="42"/>
        <v>0.72</v>
      </c>
      <c r="D481">
        <f t="shared" si="43"/>
        <v>330.2</v>
      </c>
      <c r="E481">
        <v>57.2</v>
      </c>
      <c r="H481">
        <f t="shared" si="47"/>
        <v>471</v>
      </c>
      <c r="I481">
        <f t="shared" si="44"/>
        <v>0.72</v>
      </c>
      <c r="K481">
        <f t="shared" si="45"/>
        <v>471</v>
      </c>
      <c r="L481" s="2">
        <f t="shared" si="46"/>
        <v>-0.6570081339440722</v>
      </c>
    </row>
    <row r="482" spans="1:12" x14ac:dyDescent="0.25">
      <c r="A482" s="4" t="s">
        <v>483</v>
      </c>
      <c r="B482" s="4">
        <v>143</v>
      </c>
      <c r="C482">
        <f t="shared" si="42"/>
        <v>0.71499999999999997</v>
      </c>
      <c r="D482">
        <f t="shared" si="43"/>
        <v>330.2</v>
      </c>
      <c r="E482">
        <v>57.2</v>
      </c>
      <c r="H482">
        <f t="shared" si="47"/>
        <v>472</v>
      </c>
      <c r="I482">
        <f t="shared" si="44"/>
        <v>0.71499999999999997</v>
      </c>
      <c r="K482">
        <f t="shared" si="45"/>
        <v>472</v>
      </c>
      <c r="L482" s="2">
        <f t="shared" si="46"/>
        <v>-0.67094547257625892</v>
      </c>
    </row>
    <row r="483" spans="1:12" x14ac:dyDescent="0.25">
      <c r="A483" s="4" t="s">
        <v>484</v>
      </c>
      <c r="B483" s="4">
        <v>144</v>
      </c>
      <c r="C483">
        <f t="shared" si="42"/>
        <v>0.72</v>
      </c>
      <c r="D483">
        <f t="shared" si="43"/>
        <v>330.1</v>
      </c>
      <c r="E483">
        <v>57.1</v>
      </c>
      <c r="H483">
        <f t="shared" si="47"/>
        <v>473</v>
      </c>
      <c r="I483">
        <f t="shared" si="44"/>
        <v>0.72</v>
      </c>
      <c r="K483">
        <f t="shared" si="45"/>
        <v>473</v>
      </c>
      <c r="L483" s="2">
        <f t="shared" si="46"/>
        <v>-0.6570081339440722</v>
      </c>
    </row>
    <row r="484" spans="1:12" x14ac:dyDescent="0.25">
      <c r="A484" s="4" t="s">
        <v>485</v>
      </c>
      <c r="B484" s="4">
        <v>146</v>
      </c>
      <c r="C484">
        <f t="shared" si="42"/>
        <v>0.73</v>
      </c>
      <c r="D484">
        <f t="shared" si="43"/>
        <v>330.1</v>
      </c>
      <c r="E484">
        <v>57.1</v>
      </c>
      <c r="H484">
        <f t="shared" si="47"/>
        <v>474</v>
      </c>
      <c r="I484">
        <f t="shared" si="44"/>
        <v>0.73</v>
      </c>
      <c r="K484">
        <f t="shared" si="45"/>
        <v>474</v>
      </c>
      <c r="L484" s="2">
        <f t="shared" si="46"/>
        <v>-0.62942148967940059</v>
      </c>
    </row>
    <row r="485" spans="1:12" x14ac:dyDescent="0.25">
      <c r="A485" s="4" t="s">
        <v>486</v>
      </c>
      <c r="B485" s="4">
        <v>144</v>
      </c>
      <c r="C485">
        <f t="shared" si="42"/>
        <v>0.72</v>
      </c>
      <c r="D485">
        <f t="shared" si="43"/>
        <v>330.1</v>
      </c>
      <c r="E485">
        <v>57.1</v>
      </c>
      <c r="H485">
        <f t="shared" si="47"/>
        <v>475</v>
      </c>
      <c r="I485">
        <f t="shared" si="44"/>
        <v>0.72</v>
      </c>
      <c r="K485">
        <f t="shared" si="45"/>
        <v>475</v>
      </c>
      <c r="L485" s="2">
        <f t="shared" si="46"/>
        <v>-0.6570081339440722</v>
      </c>
    </row>
    <row r="486" spans="1:12" x14ac:dyDescent="0.25">
      <c r="A486" s="4" t="s">
        <v>487</v>
      </c>
      <c r="B486" s="4">
        <v>145</v>
      </c>
      <c r="C486">
        <f t="shared" si="42"/>
        <v>0.72499999999999998</v>
      </c>
      <c r="D486">
        <f t="shared" si="43"/>
        <v>329.9</v>
      </c>
      <c r="E486">
        <v>56.9</v>
      </c>
      <c r="H486">
        <f t="shared" si="47"/>
        <v>476</v>
      </c>
      <c r="I486">
        <f t="shared" si="44"/>
        <v>0.72499999999999998</v>
      </c>
      <c r="K486">
        <f t="shared" si="45"/>
        <v>476</v>
      </c>
      <c r="L486" s="2">
        <f t="shared" si="46"/>
        <v>-0.64316724825492455</v>
      </c>
    </row>
    <row r="487" spans="1:12" x14ac:dyDescent="0.25">
      <c r="A487" s="4" t="s">
        <v>488</v>
      </c>
      <c r="B487" s="4">
        <v>145</v>
      </c>
      <c r="C487">
        <f t="shared" si="42"/>
        <v>0.72499999999999998</v>
      </c>
      <c r="D487">
        <f t="shared" si="43"/>
        <v>329.9</v>
      </c>
      <c r="E487">
        <v>56.9</v>
      </c>
      <c r="H487">
        <f t="shared" si="47"/>
        <v>477</v>
      </c>
      <c r="I487">
        <f t="shared" si="44"/>
        <v>0.72499999999999998</v>
      </c>
      <c r="K487">
        <f t="shared" si="45"/>
        <v>477</v>
      </c>
      <c r="L487" s="2">
        <f t="shared" si="46"/>
        <v>-0.64316724825492455</v>
      </c>
    </row>
    <row r="488" spans="1:12" x14ac:dyDescent="0.25">
      <c r="A488" s="4" t="s">
        <v>489</v>
      </c>
      <c r="B488" s="4">
        <v>144</v>
      </c>
      <c r="C488">
        <f t="shared" si="42"/>
        <v>0.72</v>
      </c>
      <c r="D488">
        <f t="shared" si="43"/>
        <v>329.9</v>
      </c>
      <c r="E488">
        <v>56.9</v>
      </c>
      <c r="H488">
        <f t="shared" si="47"/>
        <v>478</v>
      </c>
      <c r="I488">
        <f t="shared" si="44"/>
        <v>0.72</v>
      </c>
      <c r="K488">
        <f t="shared" si="45"/>
        <v>478</v>
      </c>
      <c r="L488" s="2">
        <f t="shared" si="46"/>
        <v>-0.6570081339440722</v>
      </c>
    </row>
    <row r="489" spans="1:12" x14ac:dyDescent="0.25">
      <c r="A489" s="4" t="s">
        <v>490</v>
      </c>
      <c r="B489" s="4">
        <v>144</v>
      </c>
      <c r="C489">
        <f t="shared" si="42"/>
        <v>0.72</v>
      </c>
      <c r="D489">
        <f t="shared" si="43"/>
        <v>329.9</v>
      </c>
      <c r="E489">
        <v>56.9</v>
      </c>
      <c r="H489">
        <f t="shared" si="47"/>
        <v>479</v>
      </c>
      <c r="I489">
        <f t="shared" si="44"/>
        <v>0.72</v>
      </c>
      <c r="K489">
        <f t="shared" si="45"/>
        <v>479</v>
      </c>
      <c r="L489" s="2">
        <f t="shared" si="46"/>
        <v>-0.6570081339440722</v>
      </c>
    </row>
    <row r="490" spans="1:12" x14ac:dyDescent="0.25">
      <c r="A490" s="4" t="s">
        <v>491</v>
      </c>
      <c r="B490" s="4">
        <v>144</v>
      </c>
      <c r="C490">
        <f t="shared" si="42"/>
        <v>0.72</v>
      </c>
      <c r="D490">
        <f t="shared" si="43"/>
        <v>329.8</v>
      </c>
      <c r="E490">
        <v>56.8</v>
      </c>
      <c r="H490">
        <f t="shared" si="47"/>
        <v>480</v>
      </c>
      <c r="I490">
        <f t="shared" si="44"/>
        <v>0.72</v>
      </c>
      <c r="K490">
        <f t="shared" si="45"/>
        <v>480</v>
      </c>
      <c r="L490" s="2">
        <f t="shared" si="46"/>
        <v>-0.6570081339440722</v>
      </c>
    </row>
    <row r="491" spans="1:12" x14ac:dyDescent="0.25">
      <c r="A491" s="4" t="s">
        <v>492</v>
      </c>
      <c r="B491" s="4">
        <v>144</v>
      </c>
      <c r="C491">
        <f t="shared" si="42"/>
        <v>0.72</v>
      </c>
      <c r="D491">
        <f t="shared" si="43"/>
        <v>329.8</v>
      </c>
      <c r="E491">
        <v>56.8</v>
      </c>
      <c r="H491">
        <f t="shared" si="47"/>
        <v>481</v>
      </c>
      <c r="I491">
        <f t="shared" si="44"/>
        <v>0.72</v>
      </c>
      <c r="K491">
        <f t="shared" si="45"/>
        <v>481</v>
      </c>
      <c r="L491" s="2">
        <f t="shared" si="46"/>
        <v>-0.6570081339440722</v>
      </c>
    </row>
    <row r="492" spans="1:12" x14ac:dyDescent="0.25">
      <c r="A492" s="4" t="s">
        <v>493</v>
      </c>
      <c r="B492" s="4">
        <v>144</v>
      </c>
      <c r="C492">
        <f t="shared" si="42"/>
        <v>0.72</v>
      </c>
      <c r="D492">
        <f t="shared" si="43"/>
        <v>329.8</v>
      </c>
      <c r="E492">
        <v>56.8</v>
      </c>
      <c r="H492">
        <f t="shared" si="47"/>
        <v>482</v>
      </c>
      <c r="I492">
        <f t="shared" si="44"/>
        <v>0.72</v>
      </c>
      <c r="K492">
        <f t="shared" si="45"/>
        <v>482</v>
      </c>
      <c r="L492" s="2">
        <f t="shared" si="46"/>
        <v>-0.6570081339440722</v>
      </c>
    </row>
    <row r="493" spans="1:12" x14ac:dyDescent="0.25">
      <c r="A493" s="4" t="s">
        <v>494</v>
      </c>
      <c r="B493" s="4">
        <v>143</v>
      </c>
      <c r="C493">
        <f t="shared" si="42"/>
        <v>0.71499999999999997</v>
      </c>
      <c r="D493">
        <f t="shared" si="43"/>
        <v>329.8</v>
      </c>
      <c r="E493">
        <v>56.8</v>
      </c>
      <c r="H493">
        <f t="shared" si="47"/>
        <v>483</v>
      </c>
      <c r="I493">
        <f t="shared" si="44"/>
        <v>0.71499999999999997</v>
      </c>
      <c r="K493">
        <f t="shared" si="45"/>
        <v>483</v>
      </c>
      <c r="L493" s="2">
        <f t="shared" si="46"/>
        <v>-0.67094547257625892</v>
      </c>
    </row>
    <row r="494" spans="1:12" x14ac:dyDescent="0.25">
      <c r="A494" s="4" t="s">
        <v>495</v>
      </c>
      <c r="B494" s="4">
        <v>143</v>
      </c>
      <c r="C494">
        <f t="shared" si="42"/>
        <v>0.71499999999999997</v>
      </c>
      <c r="D494">
        <f t="shared" si="43"/>
        <v>329.8</v>
      </c>
      <c r="E494">
        <v>56.8</v>
      </c>
      <c r="H494">
        <f t="shared" si="47"/>
        <v>484</v>
      </c>
      <c r="I494">
        <f t="shared" si="44"/>
        <v>0.71499999999999997</v>
      </c>
      <c r="K494">
        <f t="shared" si="45"/>
        <v>484</v>
      </c>
      <c r="L494" s="2">
        <f t="shared" si="46"/>
        <v>-0.67094547257625892</v>
      </c>
    </row>
    <row r="495" spans="1:12" x14ac:dyDescent="0.25">
      <c r="A495" s="4" t="s">
        <v>496</v>
      </c>
      <c r="B495" s="4">
        <v>144</v>
      </c>
      <c r="C495">
        <f t="shared" si="42"/>
        <v>0.72</v>
      </c>
      <c r="D495">
        <f t="shared" si="43"/>
        <v>329.8</v>
      </c>
      <c r="E495">
        <v>56.8</v>
      </c>
      <c r="H495">
        <f t="shared" si="47"/>
        <v>485</v>
      </c>
      <c r="I495">
        <f t="shared" si="44"/>
        <v>0.72</v>
      </c>
      <c r="K495">
        <f t="shared" si="45"/>
        <v>485</v>
      </c>
      <c r="L495" s="2">
        <f t="shared" si="46"/>
        <v>-0.6570081339440722</v>
      </c>
    </row>
    <row r="496" spans="1:12" x14ac:dyDescent="0.25">
      <c r="A496" s="4" t="s">
        <v>497</v>
      </c>
      <c r="B496" s="4">
        <v>144</v>
      </c>
      <c r="C496">
        <f t="shared" si="42"/>
        <v>0.72</v>
      </c>
      <c r="D496">
        <f t="shared" si="43"/>
        <v>329.8</v>
      </c>
      <c r="E496">
        <v>56.8</v>
      </c>
      <c r="H496">
        <f t="shared" si="47"/>
        <v>486</v>
      </c>
      <c r="I496">
        <f t="shared" si="44"/>
        <v>0.72</v>
      </c>
      <c r="K496">
        <f t="shared" si="45"/>
        <v>486</v>
      </c>
      <c r="L496" s="2">
        <f t="shared" si="46"/>
        <v>-0.6570081339440722</v>
      </c>
    </row>
    <row r="497" spans="1:12" x14ac:dyDescent="0.25">
      <c r="A497" s="4" t="s">
        <v>498</v>
      </c>
      <c r="B497" s="4">
        <v>143</v>
      </c>
      <c r="C497">
        <f t="shared" si="42"/>
        <v>0.71499999999999997</v>
      </c>
      <c r="D497">
        <f t="shared" si="43"/>
        <v>329.8</v>
      </c>
      <c r="E497">
        <v>56.8</v>
      </c>
      <c r="H497">
        <f t="shared" si="47"/>
        <v>487</v>
      </c>
      <c r="I497">
        <f t="shared" si="44"/>
        <v>0.71499999999999997</v>
      </c>
      <c r="K497">
        <f t="shared" si="45"/>
        <v>487</v>
      </c>
      <c r="L497" s="2">
        <f t="shared" si="46"/>
        <v>-0.67094547257625892</v>
      </c>
    </row>
    <row r="498" spans="1:12" x14ac:dyDescent="0.25">
      <c r="A498" s="4" t="s">
        <v>499</v>
      </c>
      <c r="B498" s="4">
        <v>144</v>
      </c>
      <c r="C498">
        <f t="shared" si="42"/>
        <v>0.72</v>
      </c>
      <c r="D498">
        <f t="shared" si="43"/>
        <v>329.8</v>
      </c>
      <c r="E498">
        <v>56.8</v>
      </c>
      <c r="H498">
        <f t="shared" si="47"/>
        <v>488</v>
      </c>
      <c r="I498">
        <f t="shared" si="44"/>
        <v>0.72</v>
      </c>
      <c r="K498">
        <f t="shared" si="45"/>
        <v>488</v>
      </c>
      <c r="L498" s="2">
        <f t="shared" si="46"/>
        <v>-0.6570081339440722</v>
      </c>
    </row>
    <row r="499" spans="1:12" x14ac:dyDescent="0.25">
      <c r="A499" s="4" t="s">
        <v>500</v>
      </c>
      <c r="B499" s="4">
        <v>144</v>
      </c>
      <c r="C499">
        <f t="shared" si="42"/>
        <v>0.72</v>
      </c>
      <c r="D499">
        <f t="shared" si="43"/>
        <v>329.4</v>
      </c>
      <c r="E499">
        <v>56.4</v>
      </c>
      <c r="H499">
        <f t="shared" si="47"/>
        <v>489</v>
      </c>
      <c r="I499">
        <f t="shared" si="44"/>
        <v>0.72</v>
      </c>
      <c r="K499">
        <f t="shared" si="45"/>
        <v>489</v>
      </c>
      <c r="L499" s="2">
        <f t="shared" si="46"/>
        <v>-0.6570081339440722</v>
      </c>
    </row>
    <row r="500" spans="1:12" x14ac:dyDescent="0.25">
      <c r="A500" s="4" t="s">
        <v>501</v>
      </c>
      <c r="B500" s="4">
        <v>143</v>
      </c>
      <c r="C500">
        <f t="shared" si="42"/>
        <v>0.71499999999999997</v>
      </c>
      <c r="D500">
        <f t="shared" si="43"/>
        <v>329.4</v>
      </c>
      <c r="E500">
        <v>56.4</v>
      </c>
      <c r="H500">
        <f t="shared" si="47"/>
        <v>490</v>
      </c>
      <c r="I500">
        <f t="shared" si="44"/>
        <v>0.71499999999999997</v>
      </c>
      <c r="K500">
        <f t="shared" si="45"/>
        <v>490</v>
      </c>
      <c r="L500" s="2">
        <f t="shared" si="46"/>
        <v>-0.67094547257625892</v>
      </c>
    </row>
    <row r="501" spans="1:12" x14ac:dyDescent="0.25">
      <c r="A501" s="4" t="s">
        <v>502</v>
      </c>
      <c r="B501" s="4">
        <v>143</v>
      </c>
      <c r="C501">
        <f t="shared" si="42"/>
        <v>0.71499999999999997</v>
      </c>
      <c r="D501">
        <f t="shared" si="43"/>
        <v>329.4</v>
      </c>
      <c r="E501">
        <v>56.4</v>
      </c>
      <c r="H501">
        <f t="shared" si="47"/>
        <v>491</v>
      </c>
      <c r="I501">
        <f t="shared" si="44"/>
        <v>0.71499999999999997</v>
      </c>
      <c r="K501">
        <f t="shared" si="45"/>
        <v>491</v>
      </c>
      <c r="L501" s="2">
        <f t="shared" si="46"/>
        <v>-0.67094547257625892</v>
      </c>
    </row>
    <row r="502" spans="1:12" x14ac:dyDescent="0.25">
      <c r="A502" s="4" t="s">
        <v>503</v>
      </c>
      <c r="B502" s="4">
        <v>142</v>
      </c>
      <c r="C502">
        <f t="shared" si="42"/>
        <v>0.71</v>
      </c>
      <c r="D502">
        <f t="shared" si="43"/>
        <v>329.2</v>
      </c>
      <c r="E502">
        <v>56.2</v>
      </c>
      <c r="H502">
        <f t="shared" si="47"/>
        <v>492</v>
      </c>
      <c r="I502">
        <f t="shared" si="44"/>
        <v>0.71</v>
      </c>
      <c r="K502">
        <f t="shared" si="45"/>
        <v>492</v>
      </c>
      <c r="L502" s="2">
        <f t="shared" si="46"/>
        <v>-0.68498061789355191</v>
      </c>
    </row>
    <row r="503" spans="1:12" x14ac:dyDescent="0.25">
      <c r="A503" s="4" t="s">
        <v>504</v>
      </c>
      <c r="B503" s="4">
        <v>142</v>
      </c>
      <c r="C503">
        <f t="shared" si="42"/>
        <v>0.71</v>
      </c>
      <c r="D503">
        <f t="shared" si="43"/>
        <v>329.2</v>
      </c>
      <c r="E503">
        <v>56.2</v>
      </c>
      <c r="H503">
        <f t="shared" si="47"/>
        <v>493</v>
      </c>
      <c r="I503">
        <f t="shared" si="44"/>
        <v>0.71</v>
      </c>
      <c r="K503">
        <f t="shared" si="45"/>
        <v>493</v>
      </c>
      <c r="L503" s="2">
        <f t="shared" si="46"/>
        <v>-0.68498061789355191</v>
      </c>
    </row>
    <row r="504" spans="1:12" x14ac:dyDescent="0.25">
      <c r="A504" s="4" t="s">
        <v>505</v>
      </c>
      <c r="B504" s="4">
        <v>144</v>
      </c>
      <c r="C504">
        <f t="shared" si="42"/>
        <v>0.72</v>
      </c>
      <c r="D504">
        <f t="shared" si="43"/>
        <v>329.2</v>
      </c>
      <c r="E504">
        <v>56.2</v>
      </c>
      <c r="H504">
        <f t="shared" si="47"/>
        <v>494</v>
      </c>
      <c r="I504">
        <f t="shared" si="44"/>
        <v>0.72</v>
      </c>
      <c r="K504">
        <f t="shared" si="45"/>
        <v>494</v>
      </c>
      <c r="L504" s="2">
        <f t="shared" si="46"/>
        <v>-0.6570081339440722</v>
      </c>
    </row>
    <row r="505" spans="1:12" x14ac:dyDescent="0.25">
      <c r="A505" s="4" t="s">
        <v>506</v>
      </c>
      <c r="B505" s="4">
        <v>142</v>
      </c>
      <c r="C505">
        <f t="shared" si="42"/>
        <v>0.71</v>
      </c>
      <c r="D505">
        <f t="shared" si="43"/>
        <v>329.2</v>
      </c>
      <c r="E505">
        <v>56.2</v>
      </c>
      <c r="H505">
        <f t="shared" si="47"/>
        <v>495</v>
      </c>
      <c r="I505">
        <f t="shared" si="44"/>
        <v>0.71</v>
      </c>
      <c r="K505">
        <f t="shared" si="45"/>
        <v>495</v>
      </c>
      <c r="L505" s="2">
        <f t="shared" si="46"/>
        <v>-0.68498061789355191</v>
      </c>
    </row>
    <row r="506" spans="1:12" x14ac:dyDescent="0.25">
      <c r="A506" s="4" t="s">
        <v>507</v>
      </c>
      <c r="B506" s="4">
        <v>144</v>
      </c>
      <c r="C506">
        <f t="shared" si="42"/>
        <v>0.72</v>
      </c>
      <c r="D506">
        <f t="shared" si="43"/>
        <v>329.2</v>
      </c>
      <c r="E506">
        <v>56.2</v>
      </c>
      <c r="H506">
        <f t="shared" si="47"/>
        <v>496</v>
      </c>
      <c r="I506">
        <f t="shared" si="44"/>
        <v>0.72</v>
      </c>
      <c r="K506">
        <f t="shared" si="45"/>
        <v>496</v>
      </c>
      <c r="L506" s="2">
        <f t="shared" si="46"/>
        <v>-0.6570081339440722</v>
      </c>
    </row>
    <row r="507" spans="1:12" x14ac:dyDescent="0.25">
      <c r="A507" s="4" t="s">
        <v>508</v>
      </c>
      <c r="B507" s="4">
        <v>143</v>
      </c>
      <c r="C507">
        <f t="shared" si="42"/>
        <v>0.71499999999999997</v>
      </c>
      <c r="D507">
        <f t="shared" si="43"/>
        <v>329.2</v>
      </c>
      <c r="E507">
        <v>56.2</v>
      </c>
      <c r="H507">
        <f t="shared" si="47"/>
        <v>497</v>
      </c>
      <c r="I507">
        <f t="shared" si="44"/>
        <v>0.71499999999999997</v>
      </c>
      <c r="K507">
        <f t="shared" si="45"/>
        <v>497</v>
      </c>
      <c r="L507" s="2">
        <f t="shared" si="46"/>
        <v>-0.67094547257625892</v>
      </c>
    </row>
    <row r="508" spans="1:12" x14ac:dyDescent="0.25">
      <c r="A508" s="4" t="s">
        <v>509</v>
      </c>
      <c r="B508" s="4">
        <v>143</v>
      </c>
      <c r="C508">
        <f t="shared" si="42"/>
        <v>0.71499999999999997</v>
      </c>
      <c r="D508">
        <f t="shared" si="43"/>
        <v>329.2</v>
      </c>
      <c r="E508">
        <v>56.2</v>
      </c>
      <c r="H508">
        <f t="shared" si="47"/>
        <v>498</v>
      </c>
      <c r="I508">
        <f t="shared" si="44"/>
        <v>0.71499999999999997</v>
      </c>
      <c r="K508">
        <f t="shared" si="45"/>
        <v>498</v>
      </c>
      <c r="L508" s="2">
        <f t="shared" si="46"/>
        <v>-0.67094547257625892</v>
      </c>
    </row>
    <row r="509" spans="1:12" x14ac:dyDescent="0.25">
      <c r="A509" s="4" t="s">
        <v>510</v>
      </c>
      <c r="B509" s="4">
        <v>141</v>
      </c>
      <c r="C509">
        <f t="shared" si="42"/>
        <v>0.70499999999999996</v>
      </c>
      <c r="D509">
        <f t="shared" si="43"/>
        <v>328.9</v>
      </c>
      <c r="E509">
        <v>55.9</v>
      </c>
      <c r="H509">
        <f t="shared" si="47"/>
        <v>499</v>
      </c>
      <c r="I509">
        <f t="shared" si="44"/>
        <v>0.70499999999999996</v>
      </c>
      <c r="K509">
        <f t="shared" si="45"/>
        <v>499</v>
      </c>
      <c r="L509" s="2">
        <f t="shared" si="46"/>
        <v>-0.69911495233973697</v>
      </c>
    </row>
    <row r="510" spans="1:12" x14ac:dyDescent="0.25">
      <c r="A510" s="4" t="s">
        <v>511</v>
      </c>
      <c r="B510" s="4">
        <v>143</v>
      </c>
      <c r="C510">
        <f t="shared" si="42"/>
        <v>0.71499999999999997</v>
      </c>
      <c r="D510">
        <f t="shared" si="43"/>
        <v>328.9</v>
      </c>
      <c r="E510">
        <v>55.9</v>
      </c>
      <c r="H510">
        <f t="shared" si="47"/>
        <v>500</v>
      </c>
      <c r="I510">
        <f t="shared" si="44"/>
        <v>0.71499999999999997</v>
      </c>
      <c r="K510">
        <f t="shared" si="45"/>
        <v>500</v>
      </c>
      <c r="L510" s="2">
        <f t="shared" si="46"/>
        <v>-0.67094547257625892</v>
      </c>
    </row>
    <row r="511" spans="1:12" x14ac:dyDescent="0.25">
      <c r="A511" s="4" t="s">
        <v>512</v>
      </c>
      <c r="B511" s="4">
        <v>143</v>
      </c>
      <c r="C511">
        <f t="shared" si="42"/>
        <v>0.71499999999999997</v>
      </c>
      <c r="D511">
        <f t="shared" si="43"/>
        <v>328.9</v>
      </c>
      <c r="E511">
        <v>55.9</v>
      </c>
      <c r="H511">
        <f t="shared" si="47"/>
        <v>501</v>
      </c>
      <c r="I511">
        <f t="shared" si="44"/>
        <v>0.71499999999999997</v>
      </c>
      <c r="K511">
        <f t="shared" si="45"/>
        <v>501</v>
      </c>
      <c r="L511" s="2">
        <f t="shared" si="46"/>
        <v>-0.67094547257625892</v>
      </c>
    </row>
    <row r="512" spans="1:12" x14ac:dyDescent="0.25">
      <c r="A512" s="4" t="s">
        <v>513</v>
      </c>
      <c r="B512" s="4">
        <v>144</v>
      </c>
      <c r="C512">
        <f t="shared" si="42"/>
        <v>0.72</v>
      </c>
      <c r="D512">
        <f t="shared" si="43"/>
        <v>328.7</v>
      </c>
      <c r="E512">
        <v>55.7</v>
      </c>
      <c r="H512">
        <f t="shared" si="47"/>
        <v>502</v>
      </c>
      <c r="I512">
        <f t="shared" si="44"/>
        <v>0.72</v>
      </c>
      <c r="K512">
        <f t="shared" si="45"/>
        <v>502</v>
      </c>
      <c r="L512" s="2">
        <f t="shared" si="46"/>
        <v>-0.6570081339440722</v>
      </c>
    </row>
    <row r="513" spans="1:12" x14ac:dyDescent="0.25">
      <c r="A513" s="4" t="s">
        <v>514</v>
      </c>
      <c r="B513" s="4">
        <v>143</v>
      </c>
      <c r="C513">
        <f t="shared" si="42"/>
        <v>0.71499999999999997</v>
      </c>
      <c r="D513">
        <f t="shared" si="43"/>
        <v>328.7</v>
      </c>
      <c r="E513">
        <v>55.7</v>
      </c>
      <c r="H513">
        <f t="shared" si="47"/>
        <v>503</v>
      </c>
      <c r="I513">
        <f t="shared" si="44"/>
        <v>0.71499999999999997</v>
      </c>
      <c r="K513">
        <f t="shared" si="45"/>
        <v>503</v>
      </c>
      <c r="L513" s="2">
        <f t="shared" si="46"/>
        <v>-0.67094547257625892</v>
      </c>
    </row>
    <row r="514" spans="1:12" x14ac:dyDescent="0.25">
      <c r="A514" s="4" t="s">
        <v>515</v>
      </c>
      <c r="B514" s="4">
        <v>141</v>
      </c>
      <c r="C514">
        <f t="shared" si="42"/>
        <v>0.70499999999999996</v>
      </c>
      <c r="D514">
        <f t="shared" si="43"/>
        <v>328.7</v>
      </c>
      <c r="E514">
        <v>55.7</v>
      </c>
      <c r="H514">
        <f t="shared" si="47"/>
        <v>504</v>
      </c>
      <c r="I514">
        <f t="shared" si="44"/>
        <v>0.70499999999999996</v>
      </c>
      <c r="K514">
        <f t="shared" si="45"/>
        <v>504</v>
      </c>
      <c r="L514" s="2">
        <f t="shared" si="46"/>
        <v>-0.69911495233973697</v>
      </c>
    </row>
    <row r="515" spans="1:12" x14ac:dyDescent="0.25">
      <c r="A515" s="4" t="s">
        <v>516</v>
      </c>
      <c r="B515" s="4">
        <v>141</v>
      </c>
      <c r="C515">
        <f t="shared" si="42"/>
        <v>0.70499999999999996</v>
      </c>
      <c r="D515">
        <f t="shared" si="43"/>
        <v>328.4</v>
      </c>
      <c r="E515">
        <v>55.4</v>
      </c>
      <c r="H515">
        <f t="shared" si="47"/>
        <v>505</v>
      </c>
      <c r="I515">
        <f t="shared" si="44"/>
        <v>0.70499999999999996</v>
      </c>
      <c r="K515">
        <f t="shared" si="45"/>
        <v>505</v>
      </c>
      <c r="L515" s="2">
        <f t="shared" si="46"/>
        <v>-0.69911495233973697</v>
      </c>
    </row>
    <row r="516" spans="1:12" x14ac:dyDescent="0.25">
      <c r="A516" s="4" t="s">
        <v>517</v>
      </c>
      <c r="B516" s="4">
        <v>140</v>
      </c>
      <c r="C516">
        <f t="shared" si="42"/>
        <v>0.7</v>
      </c>
      <c r="D516">
        <f t="shared" si="43"/>
        <v>328.4</v>
      </c>
      <c r="E516">
        <v>55.4</v>
      </c>
      <c r="H516">
        <f t="shared" si="47"/>
        <v>506</v>
      </c>
      <c r="I516">
        <f t="shared" si="44"/>
        <v>0.7</v>
      </c>
      <c r="K516">
        <f t="shared" si="45"/>
        <v>506</v>
      </c>
      <c r="L516" s="2">
        <f t="shared" si="46"/>
        <v>-0.71334988787746489</v>
      </c>
    </row>
    <row r="517" spans="1:12" x14ac:dyDescent="0.25">
      <c r="A517" s="4" t="s">
        <v>518</v>
      </c>
      <c r="B517" s="4">
        <v>141</v>
      </c>
      <c r="C517">
        <f t="shared" si="42"/>
        <v>0.70499999999999996</v>
      </c>
      <c r="D517">
        <f t="shared" si="43"/>
        <v>328.4</v>
      </c>
      <c r="E517">
        <v>55.4</v>
      </c>
      <c r="H517">
        <f t="shared" si="47"/>
        <v>507</v>
      </c>
      <c r="I517">
        <f t="shared" si="44"/>
        <v>0.70499999999999996</v>
      </c>
      <c r="K517">
        <f t="shared" si="45"/>
        <v>507</v>
      </c>
      <c r="L517" s="2">
        <f t="shared" si="46"/>
        <v>-0.69911495233973697</v>
      </c>
    </row>
    <row r="518" spans="1:12" x14ac:dyDescent="0.25">
      <c r="A518" s="4" t="s">
        <v>519</v>
      </c>
      <c r="B518" s="4">
        <v>140</v>
      </c>
      <c r="C518">
        <f t="shared" si="42"/>
        <v>0.7</v>
      </c>
      <c r="D518">
        <f t="shared" si="43"/>
        <v>328.2</v>
      </c>
      <c r="E518">
        <v>55.2</v>
      </c>
      <c r="H518">
        <f t="shared" si="47"/>
        <v>508</v>
      </c>
      <c r="I518">
        <f t="shared" si="44"/>
        <v>0.7</v>
      </c>
      <c r="K518">
        <f t="shared" si="45"/>
        <v>508</v>
      </c>
      <c r="L518" s="2">
        <f t="shared" si="46"/>
        <v>-0.71334988787746489</v>
      </c>
    </row>
    <row r="519" spans="1:12" x14ac:dyDescent="0.25">
      <c r="A519" s="4" t="s">
        <v>520</v>
      </c>
      <c r="B519" s="4">
        <v>142</v>
      </c>
      <c r="C519">
        <f t="shared" si="42"/>
        <v>0.71</v>
      </c>
      <c r="D519">
        <f t="shared" si="43"/>
        <v>328.2</v>
      </c>
      <c r="E519">
        <v>55.2</v>
      </c>
      <c r="H519">
        <f t="shared" si="47"/>
        <v>509</v>
      </c>
      <c r="I519">
        <f t="shared" si="44"/>
        <v>0.71</v>
      </c>
      <c r="K519">
        <f t="shared" si="45"/>
        <v>509</v>
      </c>
      <c r="L519" s="2">
        <f t="shared" si="46"/>
        <v>-0.68498061789355191</v>
      </c>
    </row>
    <row r="520" spans="1:12" x14ac:dyDescent="0.25">
      <c r="A520" s="4" t="s">
        <v>521</v>
      </c>
      <c r="B520" s="4">
        <v>143</v>
      </c>
      <c r="C520">
        <f t="shared" si="42"/>
        <v>0.71499999999999997</v>
      </c>
      <c r="D520">
        <f t="shared" si="43"/>
        <v>328.2</v>
      </c>
      <c r="E520">
        <v>55.2</v>
      </c>
      <c r="H520">
        <f t="shared" si="47"/>
        <v>510</v>
      </c>
      <c r="I520">
        <f t="shared" si="44"/>
        <v>0.71499999999999997</v>
      </c>
      <c r="K520">
        <f t="shared" si="45"/>
        <v>510</v>
      </c>
      <c r="L520" s="2">
        <f t="shared" si="46"/>
        <v>-0.67094547257625892</v>
      </c>
    </row>
    <row r="521" spans="1:12" x14ac:dyDescent="0.25">
      <c r="A521" s="4" t="s">
        <v>522</v>
      </c>
      <c r="B521" s="4">
        <v>142</v>
      </c>
      <c r="C521">
        <f t="shared" si="42"/>
        <v>0.71</v>
      </c>
      <c r="D521">
        <f t="shared" si="43"/>
        <v>328.2</v>
      </c>
      <c r="E521">
        <v>55.2</v>
      </c>
      <c r="H521">
        <f t="shared" si="47"/>
        <v>511</v>
      </c>
      <c r="I521">
        <f t="shared" si="44"/>
        <v>0.71</v>
      </c>
      <c r="K521">
        <f t="shared" si="45"/>
        <v>511</v>
      </c>
      <c r="L521" s="2">
        <f t="shared" si="46"/>
        <v>-0.68498061789355191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1"/>
  <sheetViews>
    <sheetView tabSelected="1" topLeftCell="E4" workbookViewId="0">
      <selection activeCell="U28" sqref="U28"/>
    </sheetView>
  </sheetViews>
  <sheetFormatPr defaultRowHeight="15" x14ac:dyDescent="0.25"/>
  <cols>
    <col min="1" max="2" width="9.140625" style="4"/>
    <col min="8" max="8" width="13.85546875" customWidth="1"/>
    <col min="11" max="11" width="9.140625" style="3"/>
  </cols>
  <sheetData>
    <row r="1" spans="1:13" x14ac:dyDescent="0.25">
      <c r="E1" s="1"/>
      <c r="F1" s="1"/>
      <c r="G1" s="1"/>
      <c r="H1" s="1"/>
    </row>
    <row r="3" spans="1:13" x14ac:dyDescent="0.25">
      <c r="A3" s="4" t="s">
        <v>0</v>
      </c>
    </row>
    <row r="5" spans="1:13" x14ac:dyDescent="0.25">
      <c r="A5" s="4" t="s">
        <v>1</v>
      </c>
    </row>
    <row r="6" spans="1:13" x14ac:dyDescent="0.25">
      <c r="H6" t="s">
        <v>2</v>
      </c>
    </row>
    <row r="7" spans="1:13" x14ac:dyDescent="0.25">
      <c r="A7" s="4" t="s">
        <v>3</v>
      </c>
      <c r="H7" t="s">
        <v>524</v>
      </c>
    </row>
    <row r="8" spans="1:13" x14ac:dyDescent="0.25">
      <c r="A8" s="4" t="s">
        <v>4</v>
      </c>
      <c r="C8" t="s">
        <v>5</v>
      </c>
      <c r="E8" t="s">
        <v>6</v>
      </c>
      <c r="G8" t="s">
        <v>7</v>
      </c>
      <c r="H8" t="s">
        <v>8</v>
      </c>
      <c r="J8" t="s">
        <v>528</v>
      </c>
      <c r="K8" t="s">
        <v>527</v>
      </c>
    </row>
    <row r="9" spans="1:13" x14ac:dyDescent="0.25">
      <c r="C9" t="s">
        <v>9</v>
      </c>
      <c r="E9" t="s">
        <v>523</v>
      </c>
      <c r="H9" t="s">
        <v>10</v>
      </c>
    </row>
    <row r="10" spans="1:13" x14ac:dyDescent="0.25">
      <c r="A10" s="4" t="s">
        <v>11</v>
      </c>
      <c r="B10" s="4">
        <v>1292</v>
      </c>
      <c r="C10">
        <f>B10/200</f>
        <v>6.46</v>
      </c>
      <c r="D10">
        <f>273+E10</f>
        <v>377.9</v>
      </c>
      <c r="E10">
        <v>104.9</v>
      </c>
      <c r="G10">
        <f>D10</f>
        <v>377.9</v>
      </c>
      <c r="H10" s="2">
        <f>1.77*B10/142</f>
        <v>16.104507042253523</v>
      </c>
      <c r="J10" s="2">
        <f>1000/G10</f>
        <v>2.6462026991267531</v>
      </c>
      <c r="K10" s="3">
        <f>LN(H10*H10/M10)</f>
        <v>5.4171919149545964</v>
      </c>
      <c r="M10">
        <f>G10/328.2</f>
        <v>1.1514320536258378</v>
      </c>
    </row>
    <row r="11" spans="1:13" x14ac:dyDescent="0.25">
      <c r="A11" s="4" t="s">
        <v>12</v>
      </c>
      <c r="B11" s="4">
        <v>1268</v>
      </c>
      <c r="C11">
        <f t="shared" ref="C11:C74" si="0">B11/200</f>
        <v>6.34</v>
      </c>
      <c r="D11">
        <f t="shared" ref="D11:D74" si="1">273+E11</f>
        <v>377.9</v>
      </c>
      <c r="E11">
        <v>104.9</v>
      </c>
      <c r="G11">
        <f t="shared" ref="G11:G74" si="2">D11</f>
        <v>377.9</v>
      </c>
      <c r="H11" s="2">
        <f t="shared" ref="H11:H74" si="3">1.77*B11/142</f>
        <v>15.805352112676058</v>
      </c>
      <c r="J11" s="2">
        <f t="shared" ref="J11:J74" si="4">1000/G11</f>
        <v>2.6462026991267531</v>
      </c>
      <c r="K11" s="3">
        <f t="shared" ref="K11:K74" si="5">LN(H11*H11/M11)</f>
        <v>5.3796908162638442</v>
      </c>
      <c r="M11">
        <f t="shared" ref="M11:M74" si="6">G11/328.2</f>
        <v>1.1514320536258378</v>
      </c>
    </row>
    <row r="12" spans="1:13" x14ac:dyDescent="0.25">
      <c r="A12" s="4" t="s">
        <v>13</v>
      </c>
      <c r="B12" s="4">
        <v>1242</v>
      </c>
      <c r="C12">
        <f t="shared" si="0"/>
        <v>6.21</v>
      </c>
      <c r="D12">
        <f t="shared" si="1"/>
        <v>377.9</v>
      </c>
      <c r="E12">
        <v>104.9</v>
      </c>
      <c r="G12">
        <f t="shared" si="2"/>
        <v>377.9</v>
      </c>
      <c r="H12" s="2">
        <f t="shared" si="3"/>
        <v>15.481267605633803</v>
      </c>
      <c r="J12" s="2">
        <f t="shared" si="4"/>
        <v>2.6462026991267531</v>
      </c>
      <c r="K12" s="3">
        <f t="shared" si="5"/>
        <v>5.3382550712563495</v>
      </c>
      <c r="M12">
        <f t="shared" si="6"/>
        <v>1.1514320536258378</v>
      </c>
    </row>
    <row r="13" spans="1:13" x14ac:dyDescent="0.25">
      <c r="A13" s="4" t="s">
        <v>14</v>
      </c>
      <c r="B13" s="4">
        <v>1219</v>
      </c>
      <c r="C13">
        <f t="shared" si="0"/>
        <v>6.0949999999999998</v>
      </c>
      <c r="D13">
        <f t="shared" si="1"/>
        <v>377.4</v>
      </c>
      <c r="E13">
        <v>104.4</v>
      </c>
      <c r="G13">
        <f t="shared" si="2"/>
        <v>377.4</v>
      </c>
      <c r="H13" s="2">
        <f t="shared" si="3"/>
        <v>15.194577464788733</v>
      </c>
      <c r="J13" s="2">
        <f t="shared" si="4"/>
        <v>2.6497085320614735</v>
      </c>
      <c r="K13" s="3">
        <f t="shared" si="5"/>
        <v>5.3021947826530376</v>
      </c>
      <c r="M13">
        <f t="shared" si="6"/>
        <v>1.1499085923217549</v>
      </c>
    </row>
    <row r="14" spans="1:13" x14ac:dyDescent="0.25">
      <c r="A14" s="4" t="s">
        <v>15</v>
      </c>
      <c r="B14" s="4">
        <v>1197</v>
      </c>
      <c r="C14">
        <f t="shared" si="0"/>
        <v>5.9850000000000003</v>
      </c>
      <c r="D14">
        <f t="shared" si="1"/>
        <v>377.4</v>
      </c>
      <c r="E14">
        <v>104.4</v>
      </c>
      <c r="G14">
        <f t="shared" si="2"/>
        <v>377.4</v>
      </c>
      <c r="H14" s="2">
        <f t="shared" si="3"/>
        <v>14.920352112676056</v>
      </c>
      <c r="J14" s="2">
        <f t="shared" si="4"/>
        <v>2.6497085320614735</v>
      </c>
      <c r="K14" s="3">
        <f t="shared" si="5"/>
        <v>5.2657699348064408</v>
      </c>
      <c r="M14">
        <f t="shared" si="6"/>
        <v>1.1499085923217549</v>
      </c>
    </row>
    <row r="15" spans="1:13" x14ac:dyDescent="0.25">
      <c r="A15" s="4" t="s">
        <v>16</v>
      </c>
      <c r="B15" s="4">
        <v>1175</v>
      </c>
      <c r="C15">
        <f t="shared" si="0"/>
        <v>5.875</v>
      </c>
      <c r="D15">
        <f t="shared" si="1"/>
        <v>377.4</v>
      </c>
      <c r="E15">
        <v>104.4</v>
      </c>
      <c r="G15">
        <f t="shared" si="2"/>
        <v>377.4</v>
      </c>
      <c r="H15" s="2">
        <f t="shared" si="3"/>
        <v>14.64612676056338</v>
      </c>
      <c r="J15" s="2">
        <f t="shared" si="4"/>
        <v>2.6497085320614735</v>
      </c>
      <c r="K15" s="3">
        <f t="shared" si="5"/>
        <v>5.2286693768470132</v>
      </c>
      <c r="M15">
        <f t="shared" si="6"/>
        <v>1.1499085923217549</v>
      </c>
    </row>
    <row r="16" spans="1:13" x14ac:dyDescent="0.25">
      <c r="A16" s="4" t="s">
        <v>17</v>
      </c>
      <c r="B16" s="4">
        <v>1152</v>
      </c>
      <c r="C16">
        <f t="shared" si="0"/>
        <v>5.76</v>
      </c>
      <c r="D16">
        <f t="shared" si="1"/>
        <v>377</v>
      </c>
      <c r="E16">
        <v>104</v>
      </c>
      <c r="G16">
        <f t="shared" si="2"/>
        <v>377</v>
      </c>
      <c r="H16" s="2">
        <f t="shared" si="3"/>
        <v>14.359436619718309</v>
      </c>
      <c r="J16" s="2">
        <f t="shared" si="4"/>
        <v>2.6525198938992043</v>
      </c>
      <c r="K16" s="3">
        <f t="shared" si="5"/>
        <v>5.1901926516886068</v>
      </c>
      <c r="M16">
        <f t="shared" si="6"/>
        <v>1.1486898232784888</v>
      </c>
    </row>
    <row r="17" spans="1:19" x14ac:dyDescent="0.25">
      <c r="A17" s="4" t="s">
        <v>18</v>
      </c>
      <c r="B17" s="4">
        <v>1130</v>
      </c>
      <c r="C17">
        <f t="shared" si="0"/>
        <v>5.65</v>
      </c>
      <c r="D17">
        <f t="shared" si="1"/>
        <v>377</v>
      </c>
      <c r="E17">
        <v>104</v>
      </c>
      <c r="G17">
        <f t="shared" si="2"/>
        <v>377</v>
      </c>
      <c r="H17" s="2">
        <f t="shared" si="3"/>
        <v>14.085211267605633</v>
      </c>
      <c r="J17" s="2">
        <f t="shared" si="4"/>
        <v>2.6525198938992043</v>
      </c>
      <c r="K17" s="3">
        <f t="shared" si="5"/>
        <v>5.1516287925897064</v>
      </c>
      <c r="M17">
        <f t="shared" si="6"/>
        <v>1.1486898232784888</v>
      </c>
    </row>
    <row r="18" spans="1:19" x14ac:dyDescent="0.25">
      <c r="A18" s="4" t="s">
        <v>19</v>
      </c>
      <c r="B18" s="4">
        <v>1111</v>
      </c>
      <c r="C18">
        <f t="shared" si="0"/>
        <v>5.5549999999999997</v>
      </c>
      <c r="D18">
        <f t="shared" si="1"/>
        <v>377</v>
      </c>
      <c r="E18">
        <v>104</v>
      </c>
      <c r="G18">
        <f t="shared" si="2"/>
        <v>377</v>
      </c>
      <c r="H18" s="2">
        <f t="shared" si="3"/>
        <v>13.84838028169014</v>
      </c>
      <c r="J18" s="2">
        <f t="shared" si="4"/>
        <v>2.6525198938992043</v>
      </c>
      <c r="K18" s="3">
        <f t="shared" si="5"/>
        <v>5.1177145484561937</v>
      </c>
      <c r="M18">
        <f t="shared" si="6"/>
        <v>1.1486898232784888</v>
      </c>
    </row>
    <row r="19" spans="1:19" x14ac:dyDescent="0.25">
      <c r="A19" s="4" t="s">
        <v>20</v>
      </c>
      <c r="B19" s="4">
        <v>1090</v>
      </c>
      <c r="C19">
        <f t="shared" si="0"/>
        <v>5.45</v>
      </c>
      <c r="D19">
        <f t="shared" si="1"/>
        <v>376.4</v>
      </c>
      <c r="E19">
        <v>103.4</v>
      </c>
      <c r="G19">
        <f t="shared" si="2"/>
        <v>376.4</v>
      </c>
      <c r="H19" s="2">
        <f t="shared" si="3"/>
        <v>13.586619718309858</v>
      </c>
      <c r="J19" s="2">
        <f t="shared" si="4"/>
        <v>2.656748140276302</v>
      </c>
      <c r="K19" s="3">
        <f t="shared" si="5"/>
        <v>5.0811416993600984</v>
      </c>
      <c r="M19">
        <f t="shared" si="6"/>
        <v>1.1468616697135892</v>
      </c>
    </row>
    <row r="20" spans="1:19" x14ac:dyDescent="0.25">
      <c r="A20" s="4" t="s">
        <v>21</v>
      </c>
      <c r="B20" s="4">
        <v>1071</v>
      </c>
      <c r="C20">
        <f t="shared" si="0"/>
        <v>5.3550000000000004</v>
      </c>
      <c r="D20">
        <f t="shared" si="1"/>
        <v>376.4</v>
      </c>
      <c r="E20">
        <v>103.4</v>
      </c>
      <c r="G20">
        <f t="shared" si="2"/>
        <v>376.4</v>
      </c>
      <c r="H20" s="2">
        <f t="shared" si="3"/>
        <v>13.349788732394368</v>
      </c>
      <c r="J20" s="2">
        <f t="shared" si="4"/>
        <v>2.656748140276302</v>
      </c>
      <c r="K20" s="3">
        <f t="shared" si="5"/>
        <v>5.0459718898092181</v>
      </c>
      <c r="M20">
        <f t="shared" si="6"/>
        <v>1.1468616697135892</v>
      </c>
    </row>
    <row r="21" spans="1:19" x14ac:dyDescent="0.25">
      <c r="A21" s="4" t="s">
        <v>22</v>
      </c>
      <c r="B21" s="4">
        <v>1053</v>
      </c>
      <c r="C21">
        <f t="shared" si="0"/>
        <v>5.2649999999999997</v>
      </c>
      <c r="D21">
        <f t="shared" si="1"/>
        <v>376.4</v>
      </c>
      <c r="E21">
        <v>103.4</v>
      </c>
      <c r="G21">
        <f t="shared" si="2"/>
        <v>376.4</v>
      </c>
      <c r="H21" s="2">
        <f t="shared" si="3"/>
        <v>13.125422535211268</v>
      </c>
      <c r="J21" s="2">
        <f t="shared" si="4"/>
        <v>2.656748140276302</v>
      </c>
      <c r="K21" s="3">
        <f t="shared" si="5"/>
        <v>5.0120727731816705</v>
      </c>
      <c r="M21">
        <f t="shared" si="6"/>
        <v>1.1468616697135892</v>
      </c>
    </row>
    <row r="22" spans="1:19" x14ac:dyDescent="0.25">
      <c r="A22" s="4" t="s">
        <v>23</v>
      </c>
      <c r="B22" s="4">
        <v>1043</v>
      </c>
      <c r="C22">
        <f t="shared" si="0"/>
        <v>5.2149999999999999</v>
      </c>
      <c r="D22">
        <f t="shared" si="1"/>
        <v>375.8</v>
      </c>
      <c r="E22">
        <v>102.8</v>
      </c>
      <c r="G22">
        <f t="shared" si="2"/>
        <v>375.8</v>
      </c>
      <c r="H22" s="2">
        <f t="shared" si="3"/>
        <v>13.000774647887324</v>
      </c>
      <c r="J22" s="2">
        <f t="shared" si="4"/>
        <v>2.6609898882384244</v>
      </c>
      <c r="K22" s="3">
        <f t="shared" si="5"/>
        <v>4.9945839796471247</v>
      </c>
      <c r="M22">
        <f t="shared" si="6"/>
        <v>1.14503351614869</v>
      </c>
    </row>
    <row r="23" spans="1:19" x14ac:dyDescent="0.25">
      <c r="A23" s="4" t="s">
        <v>24</v>
      </c>
      <c r="B23" s="4">
        <v>1030</v>
      </c>
      <c r="C23">
        <f t="shared" si="0"/>
        <v>5.15</v>
      </c>
      <c r="D23">
        <f t="shared" si="1"/>
        <v>375.8</v>
      </c>
      <c r="E23">
        <v>102.8</v>
      </c>
      <c r="G23">
        <f t="shared" si="2"/>
        <v>375.8</v>
      </c>
      <c r="H23" s="2">
        <f t="shared" si="3"/>
        <v>12.838732394366197</v>
      </c>
      <c r="J23" s="2">
        <f t="shared" si="4"/>
        <v>2.6609898882384244</v>
      </c>
      <c r="K23" s="3">
        <f t="shared" si="5"/>
        <v>4.9694992320929421</v>
      </c>
      <c r="M23">
        <f t="shared" si="6"/>
        <v>1.14503351614869</v>
      </c>
    </row>
    <row r="24" spans="1:19" x14ac:dyDescent="0.25">
      <c r="A24" s="4" t="s">
        <v>25</v>
      </c>
      <c r="B24" s="4">
        <v>1012</v>
      </c>
      <c r="C24">
        <f t="shared" si="0"/>
        <v>5.0599999999999996</v>
      </c>
      <c r="D24">
        <f t="shared" si="1"/>
        <v>375.8</v>
      </c>
      <c r="E24">
        <v>102.8</v>
      </c>
      <c r="G24">
        <f t="shared" si="2"/>
        <v>375.8</v>
      </c>
      <c r="H24" s="2">
        <f t="shared" si="3"/>
        <v>12.614366197183099</v>
      </c>
      <c r="J24" s="2">
        <f t="shared" si="4"/>
        <v>2.6609898882384244</v>
      </c>
      <c r="K24" s="3">
        <f t="shared" si="5"/>
        <v>4.9342387693404017</v>
      </c>
      <c r="M24">
        <f t="shared" si="6"/>
        <v>1.14503351614869</v>
      </c>
    </row>
    <row r="25" spans="1:19" x14ac:dyDescent="0.25">
      <c r="A25" s="4" t="s">
        <v>26</v>
      </c>
      <c r="B25" s="4">
        <v>993</v>
      </c>
      <c r="C25">
        <f t="shared" si="0"/>
        <v>4.9649999999999999</v>
      </c>
      <c r="D25">
        <f t="shared" si="1"/>
        <v>375.8</v>
      </c>
      <c r="E25">
        <v>102.8</v>
      </c>
      <c r="G25">
        <f t="shared" si="2"/>
        <v>375.8</v>
      </c>
      <c r="H25" s="2">
        <f t="shared" si="3"/>
        <v>12.377535211267606</v>
      </c>
      <c r="J25" s="2">
        <f t="shared" si="4"/>
        <v>2.6609898882384244</v>
      </c>
      <c r="K25" s="3">
        <f t="shared" si="5"/>
        <v>4.8963323977359243</v>
      </c>
      <c r="M25">
        <f t="shared" si="6"/>
        <v>1.14503351614869</v>
      </c>
    </row>
    <row r="26" spans="1:19" x14ac:dyDescent="0.25">
      <c r="A26" s="4" t="s">
        <v>27</v>
      </c>
      <c r="B26" s="4">
        <v>975</v>
      </c>
      <c r="C26">
        <f t="shared" si="0"/>
        <v>4.875</v>
      </c>
      <c r="D26">
        <f t="shared" si="1"/>
        <v>375.2</v>
      </c>
      <c r="E26">
        <v>102.2</v>
      </c>
      <c r="G26">
        <f t="shared" si="2"/>
        <v>375.2</v>
      </c>
      <c r="H26" s="2">
        <f t="shared" si="3"/>
        <v>12.153169014084508</v>
      </c>
      <c r="J26" s="2">
        <f t="shared" si="4"/>
        <v>2.6652452025586353</v>
      </c>
      <c r="K26" s="3">
        <f t="shared" si="5"/>
        <v>4.8613438814885699</v>
      </c>
      <c r="M26">
        <f t="shared" si="6"/>
        <v>1.1432053625837904</v>
      </c>
    </row>
    <row r="27" spans="1:19" x14ac:dyDescent="0.25">
      <c r="A27" s="4" t="s">
        <v>28</v>
      </c>
      <c r="B27" s="4">
        <v>958</v>
      </c>
      <c r="C27">
        <f t="shared" si="0"/>
        <v>4.79</v>
      </c>
      <c r="D27">
        <f t="shared" si="1"/>
        <v>375.2</v>
      </c>
      <c r="E27">
        <v>102.2</v>
      </c>
      <c r="G27">
        <f t="shared" si="2"/>
        <v>375.2</v>
      </c>
      <c r="H27" s="2">
        <f t="shared" si="3"/>
        <v>11.941267605633803</v>
      </c>
      <c r="J27" s="2">
        <f t="shared" si="4"/>
        <v>2.6652452025586353</v>
      </c>
      <c r="K27" s="3">
        <f t="shared" si="5"/>
        <v>4.8261644954345959</v>
      </c>
      <c r="M27">
        <f t="shared" si="6"/>
        <v>1.1432053625837904</v>
      </c>
      <c r="P27" s="1" t="s">
        <v>529</v>
      </c>
      <c r="Q27" s="1"/>
      <c r="R27" s="1"/>
      <c r="S27" s="1"/>
    </row>
    <row r="28" spans="1:19" x14ac:dyDescent="0.25">
      <c r="A28" s="4" t="s">
        <v>29</v>
      </c>
      <c r="B28" s="4">
        <v>941</v>
      </c>
      <c r="C28">
        <f t="shared" si="0"/>
        <v>4.7050000000000001</v>
      </c>
      <c r="D28">
        <f t="shared" si="1"/>
        <v>375.2</v>
      </c>
      <c r="E28">
        <v>102.2</v>
      </c>
      <c r="G28">
        <f t="shared" si="2"/>
        <v>375.2</v>
      </c>
      <c r="H28" s="2">
        <f t="shared" si="3"/>
        <v>11.729366197183099</v>
      </c>
      <c r="J28" s="2">
        <f t="shared" si="4"/>
        <v>2.6652452025586353</v>
      </c>
      <c r="K28" s="3">
        <f t="shared" si="5"/>
        <v>4.7903552186636347</v>
      </c>
      <c r="M28">
        <f t="shared" si="6"/>
        <v>1.1432053625837904</v>
      </c>
      <c r="P28" s="1"/>
      <c r="Q28" s="1"/>
      <c r="R28" s="1"/>
      <c r="S28" s="1"/>
    </row>
    <row r="29" spans="1:19" x14ac:dyDescent="0.25">
      <c r="A29" s="4" t="s">
        <v>30</v>
      </c>
      <c r="B29" s="4">
        <v>925</v>
      </c>
      <c r="C29">
        <f t="shared" si="0"/>
        <v>4.625</v>
      </c>
      <c r="D29">
        <f t="shared" si="1"/>
        <v>374.8</v>
      </c>
      <c r="E29">
        <v>101.8</v>
      </c>
      <c r="G29">
        <f t="shared" si="2"/>
        <v>374.8</v>
      </c>
      <c r="H29" s="2">
        <f t="shared" si="3"/>
        <v>11.529929577464788</v>
      </c>
      <c r="J29" s="2">
        <f t="shared" si="4"/>
        <v>2.6680896478121663</v>
      </c>
      <c r="K29" s="3">
        <f t="shared" si="5"/>
        <v>4.7571230812855276</v>
      </c>
      <c r="M29">
        <f t="shared" si="6"/>
        <v>1.1419865935405242</v>
      </c>
    </row>
    <row r="30" spans="1:19" x14ac:dyDescent="0.25">
      <c r="A30" s="4" t="s">
        <v>31</v>
      </c>
      <c r="B30" s="4">
        <v>910</v>
      </c>
      <c r="C30">
        <f t="shared" si="0"/>
        <v>4.55</v>
      </c>
      <c r="D30">
        <f t="shared" si="1"/>
        <v>374.8</v>
      </c>
      <c r="E30">
        <v>101.8</v>
      </c>
      <c r="G30">
        <f t="shared" si="2"/>
        <v>374.8</v>
      </c>
      <c r="H30" s="2">
        <f t="shared" si="3"/>
        <v>11.342957746478874</v>
      </c>
      <c r="J30" s="2">
        <f t="shared" si="4"/>
        <v>2.6680896478121663</v>
      </c>
      <c r="K30" s="3">
        <f t="shared" si="5"/>
        <v>4.7244248052824691</v>
      </c>
      <c r="M30">
        <f t="shared" si="6"/>
        <v>1.1419865935405242</v>
      </c>
    </row>
    <row r="31" spans="1:19" x14ac:dyDescent="0.25">
      <c r="A31" s="4" t="s">
        <v>32</v>
      </c>
      <c r="B31" s="4">
        <v>879</v>
      </c>
      <c r="C31">
        <f t="shared" si="0"/>
        <v>4.3949999999999996</v>
      </c>
      <c r="D31">
        <f t="shared" si="1"/>
        <v>374.8</v>
      </c>
      <c r="E31">
        <v>101.8</v>
      </c>
      <c r="G31">
        <f t="shared" si="2"/>
        <v>374.8</v>
      </c>
      <c r="H31" s="2">
        <f t="shared" si="3"/>
        <v>10.956549295774648</v>
      </c>
      <c r="J31" s="2">
        <f t="shared" si="4"/>
        <v>2.6680896478121663</v>
      </c>
      <c r="K31" s="3">
        <f t="shared" si="5"/>
        <v>4.6551054016310314</v>
      </c>
      <c r="M31">
        <f t="shared" si="6"/>
        <v>1.1419865935405242</v>
      </c>
    </row>
    <row r="32" spans="1:19" x14ac:dyDescent="0.25">
      <c r="A32" s="4" t="s">
        <v>33</v>
      </c>
      <c r="B32" s="4">
        <v>865</v>
      </c>
      <c r="C32">
        <f t="shared" si="0"/>
        <v>4.3250000000000002</v>
      </c>
      <c r="D32">
        <f t="shared" si="1"/>
        <v>374.3</v>
      </c>
      <c r="E32">
        <v>101.3</v>
      </c>
      <c r="G32">
        <f t="shared" si="2"/>
        <v>374.3</v>
      </c>
      <c r="H32" s="2">
        <f t="shared" si="3"/>
        <v>10.782042253521126</v>
      </c>
      <c r="J32" s="2">
        <f t="shared" si="4"/>
        <v>2.6716537536735236</v>
      </c>
      <c r="K32" s="3">
        <f t="shared" si="5"/>
        <v>4.6243295555783197</v>
      </c>
      <c r="M32">
        <f t="shared" si="6"/>
        <v>1.1404631322364414</v>
      </c>
    </row>
    <row r="33" spans="1:13" x14ac:dyDescent="0.25">
      <c r="A33" s="4" t="s">
        <v>34</v>
      </c>
      <c r="B33" s="4">
        <v>850</v>
      </c>
      <c r="C33">
        <f t="shared" si="0"/>
        <v>4.25</v>
      </c>
      <c r="D33">
        <f t="shared" si="1"/>
        <v>374.3</v>
      </c>
      <c r="E33">
        <v>101.3</v>
      </c>
      <c r="G33">
        <f t="shared" si="2"/>
        <v>374.3</v>
      </c>
      <c r="H33" s="2">
        <f t="shared" si="3"/>
        <v>10.595070422535212</v>
      </c>
      <c r="J33" s="2">
        <f t="shared" si="4"/>
        <v>2.6716537536735236</v>
      </c>
      <c r="K33" s="3">
        <f t="shared" si="5"/>
        <v>4.5893432406832853</v>
      </c>
      <c r="M33">
        <f t="shared" si="6"/>
        <v>1.1404631322364414</v>
      </c>
    </row>
    <row r="34" spans="1:13" x14ac:dyDescent="0.25">
      <c r="A34" s="4" t="s">
        <v>35</v>
      </c>
      <c r="B34" s="4">
        <v>836</v>
      </c>
      <c r="C34">
        <f t="shared" si="0"/>
        <v>4.18</v>
      </c>
      <c r="D34">
        <f t="shared" si="1"/>
        <v>374.3</v>
      </c>
      <c r="E34">
        <v>101.3</v>
      </c>
      <c r="G34">
        <f t="shared" si="2"/>
        <v>374.3</v>
      </c>
      <c r="H34" s="2">
        <f t="shared" si="3"/>
        <v>10.42056338028169</v>
      </c>
      <c r="J34" s="2">
        <f t="shared" si="4"/>
        <v>2.6716537536735236</v>
      </c>
      <c r="K34" s="3">
        <f t="shared" si="5"/>
        <v>4.5561277678839645</v>
      </c>
      <c r="M34">
        <f t="shared" si="6"/>
        <v>1.1404631322364414</v>
      </c>
    </row>
    <row r="35" spans="1:13" x14ac:dyDescent="0.25">
      <c r="A35" s="4" t="s">
        <v>36</v>
      </c>
      <c r="B35" s="4">
        <v>822</v>
      </c>
      <c r="C35">
        <f t="shared" si="0"/>
        <v>4.1100000000000003</v>
      </c>
      <c r="D35">
        <f t="shared" si="1"/>
        <v>373.7</v>
      </c>
      <c r="E35">
        <v>100.7</v>
      </c>
      <c r="G35">
        <f t="shared" si="2"/>
        <v>373.7</v>
      </c>
      <c r="H35" s="2">
        <f t="shared" si="3"/>
        <v>10.24605633802817</v>
      </c>
      <c r="J35" s="2">
        <f t="shared" si="4"/>
        <v>2.675943270002676</v>
      </c>
      <c r="K35" s="3">
        <f t="shared" si="5"/>
        <v>4.5239556102458662</v>
      </c>
      <c r="M35">
        <f t="shared" si="6"/>
        <v>1.1386349786715417</v>
      </c>
    </row>
    <row r="36" spans="1:13" x14ac:dyDescent="0.25">
      <c r="A36" s="4" t="s">
        <v>37</v>
      </c>
      <c r="B36" s="4">
        <v>807</v>
      </c>
      <c r="C36">
        <f t="shared" si="0"/>
        <v>4.0350000000000001</v>
      </c>
      <c r="D36">
        <f t="shared" si="1"/>
        <v>373.7</v>
      </c>
      <c r="E36">
        <v>100.7</v>
      </c>
      <c r="G36">
        <f t="shared" si="2"/>
        <v>373.7</v>
      </c>
      <c r="H36" s="2">
        <f t="shared" si="3"/>
        <v>10.059084507042254</v>
      </c>
      <c r="J36" s="2">
        <f t="shared" si="4"/>
        <v>2.675943270002676</v>
      </c>
      <c r="K36" s="3">
        <f t="shared" si="5"/>
        <v>4.4871221566734043</v>
      </c>
      <c r="M36">
        <f t="shared" si="6"/>
        <v>1.1386349786715417</v>
      </c>
    </row>
    <row r="37" spans="1:13" x14ac:dyDescent="0.25">
      <c r="A37" s="4" t="s">
        <v>38</v>
      </c>
      <c r="B37" s="4">
        <v>795</v>
      </c>
      <c r="C37">
        <f t="shared" si="0"/>
        <v>3.9750000000000001</v>
      </c>
      <c r="D37">
        <f t="shared" si="1"/>
        <v>373.7</v>
      </c>
      <c r="E37">
        <v>100.7</v>
      </c>
      <c r="G37">
        <f t="shared" si="2"/>
        <v>373.7</v>
      </c>
      <c r="H37" s="2">
        <f t="shared" si="3"/>
        <v>9.9095070422535212</v>
      </c>
      <c r="J37" s="2">
        <f t="shared" si="4"/>
        <v>2.675943270002676</v>
      </c>
      <c r="K37" s="3">
        <f t="shared" si="5"/>
        <v>4.4571590494421702</v>
      </c>
      <c r="M37">
        <f t="shared" si="6"/>
        <v>1.1386349786715417</v>
      </c>
    </row>
    <row r="38" spans="1:13" x14ac:dyDescent="0.25">
      <c r="A38" s="4" t="s">
        <v>39</v>
      </c>
      <c r="B38" s="4">
        <v>782</v>
      </c>
      <c r="C38">
        <f t="shared" si="0"/>
        <v>3.91</v>
      </c>
      <c r="D38">
        <f t="shared" si="1"/>
        <v>373</v>
      </c>
      <c r="E38">
        <v>100</v>
      </c>
      <c r="G38">
        <f t="shared" si="2"/>
        <v>373</v>
      </c>
      <c r="H38" s="2">
        <f t="shared" si="3"/>
        <v>9.7474647887323957</v>
      </c>
      <c r="J38" s="2">
        <f t="shared" si="4"/>
        <v>2.6809651474530831</v>
      </c>
      <c r="K38" s="3">
        <f t="shared" si="5"/>
        <v>4.4260592180717513</v>
      </c>
      <c r="M38">
        <f t="shared" si="6"/>
        <v>1.1365021328458258</v>
      </c>
    </row>
    <row r="39" spans="1:13" x14ac:dyDescent="0.25">
      <c r="A39" s="4" t="s">
        <v>40</v>
      </c>
      <c r="B39" s="4">
        <v>770</v>
      </c>
      <c r="C39">
        <f t="shared" si="0"/>
        <v>3.85</v>
      </c>
      <c r="D39">
        <f t="shared" si="1"/>
        <v>373</v>
      </c>
      <c r="E39">
        <v>100</v>
      </c>
      <c r="G39">
        <f t="shared" si="2"/>
        <v>373</v>
      </c>
      <c r="H39" s="2">
        <f t="shared" si="3"/>
        <v>9.5978873239436631</v>
      </c>
      <c r="J39" s="2">
        <f t="shared" si="4"/>
        <v>2.6809651474530831</v>
      </c>
      <c r="K39" s="3">
        <f t="shared" si="5"/>
        <v>4.395130766676588</v>
      </c>
      <c r="M39">
        <f t="shared" si="6"/>
        <v>1.1365021328458258</v>
      </c>
    </row>
    <row r="40" spans="1:13" x14ac:dyDescent="0.25">
      <c r="A40" s="4" t="s">
        <v>41</v>
      </c>
      <c r="B40" s="4">
        <v>759</v>
      </c>
      <c r="C40">
        <f t="shared" si="0"/>
        <v>3.7949999999999999</v>
      </c>
      <c r="D40">
        <f t="shared" si="1"/>
        <v>373</v>
      </c>
      <c r="E40">
        <v>100</v>
      </c>
      <c r="G40">
        <f t="shared" si="2"/>
        <v>373</v>
      </c>
      <c r="H40" s="2">
        <f t="shared" si="3"/>
        <v>9.4607746478873249</v>
      </c>
      <c r="J40" s="2">
        <f t="shared" si="4"/>
        <v>2.6809651474530831</v>
      </c>
      <c r="K40" s="3">
        <f t="shared" si="5"/>
        <v>4.3663532917723895</v>
      </c>
      <c r="M40">
        <f t="shared" si="6"/>
        <v>1.1365021328458258</v>
      </c>
    </row>
    <row r="41" spans="1:13" x14ac:dyDescent="0.25">
      <c r="A41" s="4" t="s">
        <v>42</v>
      </c>
      <c r="B41" s="4">
        <v>746</v>
      </c>
      <c r="C41">
        <f t="shared" si="0"/>
        <v>3.73</v>
      </c>
      <c r="D41">
        <f t="shared" si="1"/>
        <v>373</v>
      </c>
      <c r="E41">
        <v>100</v>
      </c>
      <c r="G41">
        <f t="shared" si="2"/>
        <v>373</v>
      </c>
      <c r="H41" s="2">
        <f t="shared" si="3"/>
        <v>9.2987323943661977</v>
      </c>
      <c r="J41" s="2">
        <f t="shared" si="4"/>
        <v>2.6809651474530831</v>
      </c>
      <c r="K41" s="3">
        <f t="shared" si="5"/>
        <v>4.3318009373886506</v>
      </c>
      <c r="M41">
        <f t="shared" si="6"/>
        <v>1.1365021328458258</v>
      </c>
    </row>
    <row r="42" spans="1:13" x14ac:dyDescent="0.25">
      <c r="A42" s="4" t="s">
        <v>43</v>
      </c>
      <c r="B42" s="4">
        <v>734</v>
      </c>
      <c r="C42">
        <f t="shared" si="0"/>
        <v>3.67</v>
      </c>
      <c r="D42">
        <f t="shared" si="1"/>
        <v>372.3</v>
      </c>
      <c r="E42">
        <v>99.3</v>
      </c>
      <c r="G42">
        <f t="shared" si="2"/>
        <v>372.3</v>
      </c>
      <c r="H42" s="2">
        <f t="shared" si="3"/>
        <v>9.149154929577465</v>
      </c>
      <c r="J42" s="2">
        <f t="shared" si="4"/>
        <v>2.6860059092130002</v>
      </c>
      <c r="K42" s="3">
        <f t="shared" si="5"/>
        <v>4.3012462329753047</v>
      </c>
      <c r="M42">
        <f t="shared" si="6"/>
        <v>1.1343692870201099</v>
      </c>
    </row>
    <row r="43" spans="1:13" x14ac:dyDescent="0.25">
      <c r="A43" s="4" t="s">
        <v>44</v>
      </c>
      <c r="B43" s="4">
        <v>722</v>
      </c>
      <c r="C43">
        <f t="shared" si="0"/>
        <v>3.61</v>
      </c>
      <c r="D43">
        <f t="shared" si="1"/>
        <v>372.3</v>
      </c>
      <c r="E43">
        <v>99.3</v>
      </c>
      <c r="G43">
        <f t="shared" si="2"/>
        <v>372.3</v>
      </c>
      <c r="H43" s="2">
        <f t="shared" si="3"/>
        <v>8.9995774647887323</v>
      </c>
      <c r="J43" s="2">
        <f t="shared" si="4"/>
        <v>2.6860059092130002</v>
      </c>
      <c r="K43" s="3">
        <f t="shared" si="5"/>
        <v>4.2682784535319254</v>
      </c>
      <c r="M43">
        <f t="shared" si="6"/>
        <v>1.1343692870201099</v>
      </c>
    </row>
    <row r="44" spans="1:13" x14ac:dyDescent="0.25">
      <c r="A44" s="4" t="s">
        <v>45</v>
      </c>
      <c r="B44" s="4">
        <v>711</v>
      </c>
      <c r="C44">
        <f t="shared" si="0"/>
        <v>3.5550000000000002</v>
      </c>
      <c r="D44">
        <f t="shared" si="1"/>
        <v>372.3</v>
      </c>
      <c r="E44">
        <v>99.3</v>
      </c>
      <c r="G44">
        <f t="shared" si="2"/>
        <v>372.3</v>
      </c>
      <c r="H44" s="2">
        <f t="shared" si="3"/>
        <v>8.8624647887323942</v>
      </c>
      <c r="J44" s="2">
        <f t="shared" si="4"/>
        <v>2.6860059092130002</v>
      </c>
      <c r="K44" s="3">
        <f t="shared" si="5"/>
        <v>4.2375730353527548</v>
      </c>
      <c r="M44">
        <f t="shared" si="6"/>
        <v>1.1343692870201099</v>
      </c>
    </row>
    <row r="45" spans="1:13" x14ac:dyDescent="0.25">
      <c r="A45" s="4" t="s">
        <v>46</v>
      </c>
      <c r="B45" s="4">
        <v>699</v>
      </c>
      <c r="C45">
        <f t="shared" si="0"/>
        <v>3.4950000000000001</v>
      </c>
      <c r="D45">
        <f t="shared" si="1"/>
        <v>371.7</v>
      </c>
      <c r="E45">
        <v>98.7</v>
      </c>
      <c r="G45">
        <f t="shared" si="2"/>
        <v>371.7</v>
      </c>
      <c r="H45" s="2">
        <f t="shared" si="3"/>
        <v>8.7128873239436615</v>
      </c>
      <c r="J45" s="2">
        <f t="shared" si="4"/>
        <v>2.6903416733925209</v>
      </c>
      <c r="K45" s="3">
        <f t="shared" si="5"/>
        <v>4.2051425637893587</v>
      </c>
      <c r="M45">
        <f t="shared" si="6"/>
        <v>1.1325411334552102</v>
      </c>
    </row>
    <row r="46" spans="1:13" x14ac:dyDescent="0.25">
      <c r="A46" s="4" t="s">
        <v>47</v>
      </c>
      <c r="B46" s="4">
        <v>687</v>
      </c>
      <c r="C46">
        <f t="shared" si="0"/>
        <v>3.4350000000000001</v>
      </c>
      <c r="D46">
        <f t="shared" si="1"/>
        <v>371.7</v>
      </c>
      <c r="E46">
        <v>98.7</v>
      </c>
      <c r="G46">
        <f t="shared" si="2"/>
        <v>371.7</v>
      </c>
      <c r="H46" s="2">
        <f t="shared" si="3"/>
        <v>8.5633098591549288</v>
      </c>
      <c r="J46" s="2">
        <f t="shared" si="4"/>
        <v>2.6903416733925209</v>
      </c>
      <c r="K46" s="3">
        <f t="shared" si="5"/>
        <v>4.1705096637664365</v>
      </c>
      <c r="M46">
        <f t="shared" si="6"/>
        <v>1.1325411334552102</v>
      </c>
    </row>
    <row r="47" spans="1:13" x14ac:dyDescent="0.25">
      <c r="A47" s="4" t="s">
        <v>48</v>
      </c>
      <c r="B47" s="4">
        <v>677</v>
      </c>
      <c r="C47">
        <f t="shared" si="0"/>
        <v>3.3849999999999998</v>
      </c>
      <c r="D47">
        <f t="shared" si="1"/>
        <v>371.7</v>
      </c>
      <c r="E47">
        <v>98.7</v>
      </c>
      <c r="G47">
        <f t="shared" si="2"/>
        <v>371.7</v>
      </c>
      <c r="H47" s="2">
        <f t="shared" si="3"/>
        <v>8.4386619718309852</v>
      </c>
      <c r="J47" s="2">
        <f t="shared" si="4"/>
        <v>2.6903416733925209</v>
      </c>
      <c r="K47" s="3">
        <f t="shared" si="5"/>
        <v>4.1411836251462883</v>
      </c>
      <c r="M47">
        <f t="shared" si="6"/>
        <v>1.1325411334552102</v>
      </c>
    </row>
    <row r="48" spans="1:13" x14ac:dyDescent="0.25">
      <c r="A48" s="4" t="s">
        <v>49</v>
      </c>
      <c r="B48" s="4">
        <v>667</v>
      </c>
      <c r="C48">
        <f t="shared" si="0"/>
        <v>3.335</v>
      </c>
      <c r="D48">
        <f t="shared" si="1"/>
        <v>371.2</v>
      </c>
      <c r="E48">
        <v>98.2</v>
      </c>
      <c r="G48">
        <f t="shared" si="2"/>
        <v>371.2</v>
      </c>
      <c r="H48" s="2">
        <f t="shared" si="3"/>
        <v>8.3140140845070416</v>
      </c>
      <c r="J48" s="2">
        <f t="shared" si="4"/>
        <v>2.6939655172413794</v>
      </c>
      <c r="K48" s="3">
        <f t="shared" si="5"/>
        <v>4.1127672475441468</v>
      </c>
      <c r="M48">
        <f t="shared" si="6"/>
        <v>1.1310176721511274</v>
      </c>
    </row>
    <row r="49" spans="1:13" x14ac:dyDescent="0.25">
      <c r="A49" s="4" t="s">
        <v>50</v>
      </c>
      <c r="B49" s="4">
        <v>658</v>
      </c>
      <c r="C49">
        <f t="shared" si="0"/>
        <v>3.29</v>
      </c>
      <c r="D49">
        <f t="shared" si="1"/>
        <v>371.2</v>
      </c>
      <c r="E49">
        <v>98.2</v>
      </c>
      <c r="G49">
        <f t="shared" si="2"/>
        <v>371.2</v>
      </c>
      <c r="H49" s="2">
        <f t="shared" si="3"/>
        <v>8.2018309859154943</v>
      </c>
      <c r="J49" s="2">
        <f t="shared" si="4"/>
        <v>2.6939655172413794</v>
      </c>
      <c r="K49" s="3">
        <f t="shared" si="5"/>
        <v>4.0855970183635337</v>
      </c>
      <c r="M49">
        <f t="shared" si="6"/>
        <v>1.1310176721511274</v>
      </c>
    </row>
    <row r="50" spans="1:13" x14ac:dyDescent="0.25">
      <c r="A50" s="4" t="s">
        <v>51</v>
      </c>
      <c r="B50" s="4">
        <v>648</v>
      </c>
      <c r="C50">
        <f t="shared" si="0"/>
        <v>3.24</v>
      </c>
      <c r="D50">
        <f t="shared" si="1"/>
        <v>371.2</v>
      </c>
      <c r="E50">
        <v>98.2</v>
      </c>
      <c r="G50">
        <f t="shared" si="2"/>
        <v>371.2</v>
      </c>
      <c r="H50" s="2">
        <f t="shared" si="3"/>
        <v>8.0771830985915489</v>
      </c>
      <c r="J50" s="2">
        <f t="shared" si="4"/>
        <v>2.6939655172413794</v>
      </c>
      <c r="K50" s="3">
        <f t="shared" si="5"/>
        <v>4.054968548417448</v>
      </c>
      <c r="M50">
        <f t="shared" si="6"/>
        <v>1.1310176721511274</v>
      </c>
    </row>
    <row r="51" spans="1:13" x14ac:dyDescent="0.25">
      <c r="A51" s="4" t="s">
        <v>52</v>
      </c>
      <c r="B51" s="4">
        <v>637</v>
      </c>
      <c r="C51">
        <f t="shared" si="0"/>
        <v>3.1850000000000001</v>
      </c>
      <c r="D51">
        <f t="shared" si="1"/>
        <v>370.6</v>
      </c>
      <c r="E51">
        <v>97.6</v>
      </c>
      <c r="G51">
        <f t="shared" si="2"/>
        <v>370.6</v>
      </c>
      <c r="H51" s="2">
        <f t="shared" si="3"/>
        <v>7.9400704225352117</v>
      </c>
      <c r="J51" s="2">
        <f t="shared" si="4"/>
        <v>2.698327037236913</v>
      </c>
      <c r="K51" s="3">
        <f t="shared" si="5"/>
        <v>4.022344153918012</v>
      </c>
      <c r="M51">
        <f t="shared" si="6"/>
        <v>1.129189518586228</v>
      </c>
    </row>
    <row r="52" spans="1:13" x14ac:dyDescent="0.25">
      <c r="A52" s="4" t="s">
        <v>53</v>
      </c>
      <c r="B52" s="4">
        <v>628</v>
      </c>
      <c r="C52">
        <f t="shared" si="0"/>
        <v>3.14</v>
      </c>
      <c r="D52">
        <f t="shared" si="1"/>
        <v>370.6</v>
      </c>
      <c r="E52">
        <v>97.6</v>
      </c>
      <c r="G52">
        <f t="shared" si="2"/>
        <v>370.6</v>
      </c>
      <c r="H52" s="2">
        <f t="shared" si="3"/>
        <v>7.8278873239436617</v>
      </c>
      <c r="J52" s="2">
        <f t="shared" si="4"/>
        <v>2.698327037236913</v>
      </c>
      <c r="K52" s="3">
        <f t="shared" si="5"/>
        <v>3.9938851757100826</v>
      </c>
      <c r="M52">
        <f t="shared" si="6"/>
        <v>1.129189518586228</v>
      </c>
    </row>
    <row r="53" spans="1:13" x14ac:dyDescent="0.25">
      <c r="A53" s="4" t="s">
        <v>54</v>
      </c>
      <c r="B53" s="4">
        <v>618</v>
      </c>
      <c r="C53">
        <f t="shared" si="0"/>
        <v>3.09</v>
      </c>
      <c r="D53">
        <f t="shared" si="1"/>
        <v>370.6</v>
      </c>
      <c r="E53">
        <v>97.6</v>
      </c>
      <c r="G53">
        <f t="shared" si="2"/>
        <v>370.6</v>
      </c>
      <c r="H53" s="2">
        <f t="shared" si="3"/>
        <v>7.7032394366197172</v>
      </c>
      <c r="J53" s="2">
        <f t="shared" si="4"/>
        <v>2.698327037236913</v>
      </c>
      <c r="K53" s="3">
        <f t="shared" si="5"/>
        <v>3.9617817576890664</v>
      </c>
      <c r="M53">
        <f t="shared" si="6"/>
        <v>1.129189518586228</v>
      </c>
    </row>
    <row r="54" spans="1:13" x14ac:dyDescent="0.25">
      <c r="A54" s="4" t="s">
        <v>55</v>
      </c>
      <c r="B54" s="4">
        <v>610</v>
      </c>
      <c r="C54">
        <f t="shared" si="0"/>
        <v>3.05</v>
      </c>
      <c r="D54">
        <f t="shared" si="1"/>
        <v>370.1</v>
      </c>
      <c r="E54">
        <v>97.1</v>
      </c>
      <c r="G54">
        <f t="shared" si="2"/>
        <v>370.1</v>
      </c>
      <c r="H54" s="2">
        <f t="shared" si="3"/>
        <v>7.6035211267605636</v>
      </c>
      <c r="J54" s="2">
        <f t="shared" si="4"/>
        <v>2.7019724398811129</v>
      </c>
      <c r="K54" s="3">
        <f t="shared" si="5"/>
        <v>3.9370728315675483</v>
      </c>
      <c r="M54">
        <f t="shared" si="6"/>
        <v>1.1276660572821451</v>
      </c>
    </row>
    <row r="55" spans="1:13" x14ac:dyDescent="0.25">
      <c r="A55" s="4" t="s">
        <v>56</v>
      </c>
      <c r="B55" s="4">
        <v>600</v>
      </c>
      <c r="C55">
        <f t="shared" si="0"/>
        <v>3</v>
      </c>
      <c r="D55">
        <f t="shared" si="1"/>
        <v>370.1</v>
      </c>
      <c r="E55">
        <v>97.1</v>
      </c>
      <c r="G55">
        <f t="shared" si="2"/>
        <v>370.1</v>
      </c>
      <c r="H55" s="2">
        <f t="shared" si="3"/>
        <v>7.47887323943662</v>
      </c>
      <c r="J55" s="2">
        <f t="shared" si="4"/>
        <v>2.7019724398811129</v>
      </c>
      <c r="K55" s="3">
        <f t="shared" si="5"/>
        <v>3.9040142276651268</v>
      </c>
      <c r="M55">
        <f t="shared" si="6"/>
        <v>1.1276660572821451</v>
      </c>
    </row>
    <row r="56" spans="1:13" x14ac:dyDescent="0.25">
      <c r="A56" s="4" t="s">
        <v>57</v>
      </c>
      <c r="B56" s="4">
        <v>591</v>
      </c>
      <c r="C56">
        <f t="shared" si="0"/>
        <v>2.9550000000000001</v>
      </c>
      <c r="D56">
        <f t="shared" si="1"/>
        <v>370.1</v>
      </c>
      <c r="E56">
        <v>97.1</v>
      </c>
      <c r="G56">
        <f t="shared" si="2"/>
        <v>370.1</v>
      </c>
      <c r="H56" s="2">
        <f t="shared" si="3"/>
        <v>7.36669014084507</v>
      </c>
      <c r="J56" s="2">
        <f t="shared" si="4"/>
        <v>2.7019724398811129</v>
      </c>
      <c r="K56" s="3">
        <f t="shared" si="5"/>
        <v>3.8737869520450308</v>
      </c>
      <c r="M56">
        <f t="shared" si="6"/>
        <v>1.1276660572821451</v>
      </c>
    </row>
    <row r="57" spans="1:13" x14ac:dyDescent="0.25">
      <c r="A57" s="4" t="s">
        <v>58</v>
      </c>
      <c r="B57" s="4">
        <v>582</v>
      </c>
      <c r="C57">
        <f t="shared" si="0"/>
        <v>2.91</v>
      </c>
      <c r="D57">
        <f t="shared" si="1"/>
        <v>370.1</v>
      </c>
      <c r="E57">
        <v>97.1</v>
      </c>
      <c r="G57">
        <f t="shared" si="2"/>
        <v>370.1</v>
      </c>
      <c r="H57" s="2">
        <f t="shared" si="3"/>
        <v>7.2545070422535218</v>
      </c>
      <c r="J57" s="2">
        <f t="shared" si="4"/>
        <v>2.7019724398811129</v>
      </c>
      <c r="K57" s="3">
        <f t="shared" si="5"/>
        <v>3.8430958126957102</v>
      </c>
      <c r="M57">
        <f t="shared" si="6"/>
        <v>1.1276660572821451</v>
      </c>
    </row>
    <row r="58" spans="1:13" x14ac:dyDescent="0.25">
      <c r="A58" s="4" t="s">
        <v>59</v>
      </c>
      <c r="B58" s="4">
        <v>574</v>
      </c>
      <c r="C58">
        <f t="shared" si="0"/>
        <v>2.87</v>
      </c>
      <c r="D58">
        <f t="shared" si="1"/>
        <v>369.5</v>
      </c>
      <c r="E58">
        <v>96.5</v>
      </c>
      <c r="G58">
        <f t="shared" si="2"/>
        <v>369.5</v>
      </c>
      <c r="H58" s="2">
        <f t="shared" si="3"/>
        <v>7.1547887323943664</v>
      </c>
      <c r="J58" s="2">
        <f t="shared" si="4"/>
        <v>2.7063599458728009</v>
      </c>
      <c r="K58" s="3">
        <f t="shared" si="5"/>
        <v>3.817036208875821</v>
      </c>
      <c r="M58">
        <f t="shared" si="6"/>
        <v>1.1258379037172457</v>
      </c>
    </row>
    <row r="59" spans="1:13" x14ac:dyDescent="0.25">
      <c r="A59" s="4" t="s">
        <v>60</v>
      </c>
      <c r="B59" s="4">
        <v>565</v>
      </c>
      <c r="C59">
        <f t="shared" si="0"/>
        <v>2.8250000000000002</v>
      </c>
      <c r="D59">
        <f t="shared" si="1"/>
        <v>369.5</v>
      </c>
      <c r="E59">
        <v>96.5</v>
      </c>
      <c r="G59">
        <f t="shared" si="2"/>
        <v>369.5</v>
      </c>
      <c r="H59" s="2">
        <f t="shared" si="3"/>
        <v>7.0426056338028165</v>
      </c>
      <c r="J59" s="2">
        <f t="shared" si="4"/>
        <v>2.7063599458728009</v>
      </c>
      <c r="K59" s="3">
        <f t="shared" si="5"/>
        <v>3.78542887852957</v>
      </c>
      <c r="M59">
        <f t="shared" si="6"/>
        <v>1.1258379037172457</v>
      </c>
    </row>
    <row r="60" spans="1:13" x14ac:dyDescent="0.25">
      <c r="A60" s="4" t="s">
        <v>61</v>
      </c>
      <c r="B60" s="4">
        <v>557</v>
      </c>
      <c r="C60">
        <f t="shared" si="0"/>
        <v>2.7850000000000001</v>
      </c>
      <c r="D60">
        <f t="shared" si="1"/>
        <v>369.5</v>
      </c>
      <c r="E60">
        <v>96.5</v>
      </c>
      <c r="G60">
        <f t="shared" si="2"/>
        <v>369.5</v>
      </c>
      <c r="H60" s="2">
        <f t="shared" si="3"/>
        <v>6.9428873239436619</v>
      </c>
      <c r="J60" s="2">
        <f t="shared" si="4"/>
        <v>2.7063599458728009</v>
      </c>
      <c r="K60" s="3">
        <f t="shared" si="5"/>
        <v>3.7569078960912563</v>
      </c>
      <c r="M60">
        <f t="shared" si="6"/>
        <v>1.1258379037172457</v>
      </c>
    </row>
    <row r="61" spans="1:13" x14ac:dyDescent="0.25">
      <c r="A61" s="4" t="s">
        <v>62</v>
      </c>
      <c r="B61" s="4">
        <v>550</v>
      </c>
      <c r="C61">
        <f t="shared" si="0"/>
        <v>2.75</v>
      </c>
      <c r="D61">
        <f t="shared" si="1"/>
        <v>369</v>
      </c>
      <c r="E61">
        <v>96</v>
      </c>
      <c r="G61">
        <f t="shared" si="2"/>
        <v>369</v>
      </c>
      <c r="H61" s="2">
        <f t="shared" si="3"/>
        <v>6.855633802816901</v>
      </c>
      <c r="J61" s="2">
        <f t="shared" si="4"/>
        <v>2.7100271002710028</v>
      </c>
      <c r="K61" s="3">
        <f t="shared" si="5"/>
        <v>3.7329680690374505</v>
      </c>
      <c r="M61">
        <f t="shared" si="6"/>
        <v>1.1243144424131628</v>
      </c>
    </row>
    <row r="62" spans="1:13" x14ac:dyDescent="0.25">
      <c r="A62" s="4" t="s">
        <v>63</v>
      </c>
      <c r="B62" s="4">
        <v>541</v>
      </c>
      <c r="C62">
        <f t="shared" si="0"/>
        <v>2.7050000000000001</v>
      </c>
      <c r="D62">
        <f t="shared" si="1"/>
        <v>369</v>
      </c>
      <c r="E62">
        <v>96</v>
      </c>
      <c r="G62">
        <f t="shared" si="2"/>
        <v>369</v>
      </c>
      <c r="H62" s="2">
        <f t="shared" si="3"/>
        <v>6.7434507042253529</v>
      </c>
      <c r="J62" s="2">
        <f t="shared" si="4"/>
        <v>2.7100271002710028</v>
      </c>
      <c r="K62" s="3">
        <f t="shared" si="5"/>
        <v>3.6999700702773803</v>
      </c>
      <c r="M62">
        <f t="shared" si="6"/>
        <v>1.1243144424131628</v>
      </c>
    </row>
    <row r="63" spans="1:13" x14ac:dyDescent="0.25">
      <c r="A63" s="4" t="s">
        <v>64</v>
      </c>
      <c r="B63" s="4">
        <v>535</v>
      </c>
      <c r="C63">
        <f t="shared" si="0"/>
        <v>2.6749999999999998</v>
      </c>
      <c r="D63">
        <f t="shared" si="1"/>
        <v>369</v>
      </c>
      <c r="E63">
        <v>96</v>
      </c>
      <c r="G63">
        <f t="shared" si="2"/>
        <v>369</v>
      </c>
      <c r="H63" s="2">
        <f t="shared" si="3"/>
        <v>6.6686619718309865</v>
      </c>
      <c r="J63" s="2">
        <f t="shared" si="4"/>
        <v>2.7100271002710028</v>
      </c>
      <c r="K63" s="3">
        <f t="shared" si="5"/>
        <v>3.6776650063764307</v>
      </c>
      <c r="M63">
        <f t="shared" si="6"/>
        <v>1.1243144424131628</v>
      </c>
    </row>
    <row r="64" spans="1:13" x14ac:dyDescent="0.25">
      <c r="A64" s="4" t="s">
        <v>65</v>
      </c>
      <c r="B64" s="4">
        <v>527</v>
      </c>
      <c r="C64">
        <f t="shared" si="0"/>
        <v>2.6349999999999998</v>
      </c>
      <c r="D64">
        <f t="shared" si="1"/>
        <v>368.5</v>
      </c>
      <c r="E64">
        <v>95.5</v>
      </c>
      <c r="G64">
        <f t="shared" si="2"/>
        <v>368.5</v>
      </c>
      <c r="H64" s="2">
        <f t="shared" si="3"/>
        <v>6.5689436619718311</v>
      </c>
      <c r="J64" s="2">
        <f t="shared" si="4"/>
        <v>2.7137042062415198</v>
      </c>
      <c r="K64" s="3">
        <f t="shared" si="5"/>
        <v>3.6488885420782782</v>
      </c>
      <c r="M64">
        <f t="shared" si="6"/>
        <v>1.1227909811090799</v>
      </c>
    </row>
    <row r="65" spans="1:13" x14ac:dyDescent="0.25">
      <c r="A65" s="4" t="s">
        <v>66</v>
      </c>
      <c r="B65" s="4">
        <v>520</v>
      </c>
      <c r="C65">
        <f t="shared" si="0"/>
        <v>2.6</v>
      </c>
      <c r="D65">
        <f t="shared" si="1"/>
        <v>368.5</v>
      </c>
      <c r="E65">
        <v>95.5</v>
      </c>
      <c r="G65">
        <f t="shared" si="2"/>
        <v>368.5</v>
      </c>
      <c r="H65" s="2">
        <f t="shared" si="3"/>
        <v>6.4816901408450702</v>
      </c>
      <c r="J65" s="2">
        <f t="shared" si="4"/>
        <v>2.7137042062415198</v>
      </c>
      <c r="K65" s="3">
        <f t="shared" si="5"/>
        <v>3.6221450681464993</v>
      </c>
      <c r="M65">
        <f t="shared" si="6"/>
        <v>1.1227909811090799</v>
      </c>
    </row>
    <row r="66" spans="1:13" x14ac:dyDescent="0.25">
      <c r="A66" s="4" t="s">
        <v>67</v>
      </c>
      <c r="B66" s="4">
        <v>513</v>
      </c>
      <c r="C66">
        <f t="shared" si="0"/>
        <v>2.5649999999999999</v>
      </c>
      <c r="D66">
        <f t="shared" si="1"/>
        <v>368.5</v>
      </c>
      <c r="E66">
        <v>95.5</v>
      </c>
      <c r="G66">
        <f t="shared" si="2"/>
        <v>368.5</v>
      </c>
      <c r="H66" s="2">
        <f t="shared" si="3"/>
        <v>6.3944366197183102</v>
      </c>
      <c r="J66" s="2">
        <f t="shared" si="4"/>
        <v>2.7137042062415198</v>
      </c>
      <c r="K66" s="3">
        <f t="shared" si="5"/>
        <v>3.5950391353370925</v>
      </c>
      <c r="M66">
        <f t="shared" si="6"/>
        <v>1.1227909811090799</v>
      </c>
    </row>
    <row r="67" spans="1:13" x14ac:dyDescent="0.25">
      <c r="A67" s="4" t="s">
        <v>68</v>
      </c>
      <c r="B67" s="4">
        <v>507</v>
      </c>
      <c r="C67">
        <f t="shared" si="0"/>
        <v>2.5350000000000001</v>
      </c>
      <c r="D67">
        <f t="shared" si="1"/>
        <v>367.9</v>
      </c>
      <c r="E67">
        <v>94.9</v>
      </c>
      <c r="G67">
        <f t="shared" si="2"/>
        <v>367.9</v>
      </c>
      <c r="H67" s="2">
        <f t="shared" si="3"/>
        <v>6.3196478873239439</v>
      </c>
      <c r="J67" s="2">
        <f t="shared" si="4"/>
        <v>2.7181299266104921</v>
      </c>
      <c r="K67" s="3">
        <f t="shared" si="5"/>
        <v>3.5731390016965823</v>
      </c>
      <c r="M67">
        <f t="shared" si="6"/>
        <v>1.1209628275441803</v>
      </c>
    </row>
    <row r="68" spans="1:13" x14ac:dyDescent="0.25">
      <c r="A68" s="4" t="s">
        <v>69</v>
      </c>
      <c r="B68" s="4">
        <v>501</v>
      </c>
      <c r="C68">
        <f t="shared" si="0"/>
        <v>2.5049999999999999</v>
      </c>
      <c r="D68">
        <f t="shared" si="1"/>
        <v>367.9</v>
      </c>
      <c r="E68">
        <v>94.9</v>
      </c>
      <c r="G68">
        <f t="shared" si="2"/>
        <v>367.9</v>
      </c>
      <c r="H68" s="2">
        <f t="shared" si="3"/>
        <v>6.2448591549295775</v>
      </c>
      <c r="J68" s="2">
        <f t="shared" si="4"/>
        <v>2.7181299266104921</v>
      </c>
      <c r="K68" s="3">
        <f t="shared" si="5"/>
        <v>3.5493291966839458</v>
      </c>
      <c r="M68">
        <f t="shared" si="6"/>
        <v>1.1209628275441803</v>
      </c>
    </row>
    <row r="69" spans="1:13" x14ac:dyDescent="0.25">
      <c r="A69" s="4" t="s">
        <v>70</v>
      </c>
      <c r="B69" s="4">
        <v>493</v>
      </c>
      <c r="C69">
        <f t="shared" si="0"/>
        <v>2.4649999999999999</v>
      </c>
      <c r="D69">
        <f t="shared" si="1"/>
        <v>367.9</v>
      </c>
      <c r="E69">
        <v>94.9</v>
      </c>
      <c r="G69">
        <f t="shared" si="2"/>
        <v>367.9</v>
      </c>
      <c r="H69" s="2">
        <f t="shared" si="3"/>
        <v>6.145140845070423</v>
      </c>
      <c r="J69" s="2">
        <f t="shared" si="4"/>
        <v>2.7181299266104921</v>
      </c>
      <c r="K69" s="3">
        <f t="shared" si="5"/>
        <v>3.5171353425995964</v>
      </c>
      <c r="M69">
        <f t="shared" si="6"/>
        <v>1.1209628275441803</v>
      </c>
    </row>
    <row r="70" spans="1:13" x14ac:dyDescent="0.25">
      <c r="A70" s="4" t="s">
        <v>71</v>
      </c>
      <c r="B70" s="4">
        <v>487</v>
      </c>
      <c r="C70">
        <f t="shared" si="0"/>
        <v>2.4350000000000001</v>
      </c>
      <c r="D70">
        <f t="shared" si="1"/>
        <v>367</v>
      </c>
      <c r="E70">
        <v>94</v>
      </c>
      <c r="G70">
        <f t="shared" si="2"/>
        <v>367</v>
      </c>
      <c r="H70" s="2">
        <f t="shared" si="3"/>
        <v>6.0703521126760567</v>
      </c>
      <c r="J70" s="2">
        <f t="shared" si="4"/>
        <v>2.7247956403269753</v>
      </c>
      <c r="K70" s="3">
        <f t="shared" si="5"/>
        <v>3.4950945547355539</v>
      </c>
      <c r="M70">
        <f t="shared" si="6"/>
        <v>1.1182205971968313</v>
      </c>
    </row>
    <row r="71" spans="1:13" x14ac:dyDescent="0.25">
      <c r="A71" s="4" t="s">
        <v>72</v>
      </c>
      <c r="B71" s="4">
        <v>481</v>
      </c>
      <c r="C71">
        <f t="shared" si="0"/>
        <v>2.4049999999999998</v>
      </c>
      <c r="D71">
        <f t="shared" si="1"/>
        <v>367</v>
      </c>
      <c r="E71">
        <v>94</v>
      </c>
      <c r="G71">
        <f t="shared" si="2"/>
        <v>367</v>
      </c>
      <c r="H71" s="2">
        <f t="shared" si="3"/>
        <v>5.9955633802816903</v>
      </c>
      <c r="J71" s="2">
        <f t="shared" si="4"/>
        <v>2.7247956403269753</v>
      </c>
      <c r="K71" s="3">
        <f t="shared" si="5"/>
        <v>3.4703008487818967</v>
      </c>
      <c r="M71">
        <f t="shared" si="6"/>
        <v>1.1182205971968313</v>
      </c>
    </row>
    <row r="72" spans="1:13" x14ac:dyDescent="0.25">
      <c r="A72" s="4" t="s">
        <v>73</v>
      </c>
      <c r="B72" s="4">
        <v>476</v>
      </c>
      <c r="C72">
        <f t="shared" si="0"/>
        <v>2.38</v>
      </c>
      <c r="D72">
        <f t="shared" si="1"/>
        <v>367</v>
      </c>
      <c r="E72">
        <v>94</v>
      </c>
      <c r="G72">
        <f t="shared" si="2"/>
        <v>367</v>
      </c>
      <c r="H72" s="2">
        <f t="shared" si="3"/>
        <v>5.9332394366197185</v>
      </c>
      <c r="J72" s="2">
        <f t="shared" si="4"/>
        <v>2.7247956403269753</v>
      </c>
      <c r="K72" s="3">
        <f t="shared" si="5"/>
        <v>3.449402017033214</v>
      </c>
      <c r="M72">
        <f t="shared" si="6"/>
        <v>1.1182205971968313</v>
      </c>
    </row>
    <row r="73" spans="1:13" x14ac:dyDescent="0.25">
      <c r="A73" s="4" t="s">
        <v>74</v>
      </c>
      <c r="B73" s="4">
        <v>469</v>
      </c>
      <c r="C73">
        <f t="shared" si="0"/>
        <v>2.3450000000000002</v>
      </c>
      <c r="D73">
        <f t="shared" si="1"/>
        <v>367</v>
      </c>
      <c r="E73">
        <v>94</v>
      </c>
      <c r="G73">
        <f t="shared" si="2"/>
        <v>367</v>
      </c>
      <c r="H73" s="2">
        <f t="shared" si="3"/>
        <v>5.8459859154929577</v>
      </c>
      <c r="J73" s="2">
        <f t="shared" si="4"/>
        <v>2.7247956403269753</v>
      </c>
      <c r="K73" s="3">
        <f t="shared" si="5"/>
        <v>3.4197718454629329</v>
      </c>
      <c r="M73">
        <f t="shared" si="6"/>
        <v>1.1182205971968313</v>
      </c>
    </row>
    <row r="74" spans="1:13" x14ac:dyDescent="0.25">
      <c r="A74" s="4" t="s">
        <v>75</v>
      </c>
      <c r="B74" s="4">
        <v>463</v>
      </c>
      <c r="C74">
        <f t="shared" si="0"/>
        <v>2.3149999999999999</v>
      </c>
      <c r="D74">
        <f t="shared" si="1"/>
        <v>366.1</v>
      </c>
      <c r="E74">
        <v>93.1</v>
      </c>
      <c r="G74">
        <f t="shared" si="2"/>
        <v>366.1</v>
      </c>
      <c r="H74" s="2">
        <f t="shared" si="3"/>
        <v>5.7711971830985913</v>
      </c>
      <c r="J74" s="2">
        <f t="shared" si="4"/>
        <v>2.7314941272876263</v>
      </c>
      <c r="K74" s="3">
        <f t="shared" si="5"/>
        <v>3.3964757446712222</v>
      </c>
      <c r="M74">
        <f t="shared" si="6"/>
        <v>1.1154783668494821</v>
      </c>
    </row>
    <row r="75" spans="1:13" x14ac:dyDescent="0.25">
      <c r="A75" s="4" t="s">
        <v>76</v>
      </c>
      <c r="B75" s="4">
        <v>458</v>
      </c>
      <c r="C75">
        <f t="shared" ref="C75:C138" si="7">B75/200</f>
        <v>2.29</v>
      </c>
      <c r="D75">
        <f t="shared" ref="D75:D138" si="8">273+E75</f>
        <v>366.1</v>
      </c>
      <c r="E75">
        <v>93.1</v>
      </c>
      <c r="G75">
        <f t="shared" ref="G75:G138" si="9">D75</f>
        <v>366.1</v>
      </c>
      <c r="H75" s="2">
        <f t="shared" ref="H75:H138" si="10">1.77*B75/142</f>
        <v>5.7088732394366195</v>
      </c>
      <c r="J75" s="2">
        <f t="shared" ref="J75:J138" si="11">1000/G75</f>
        <v>2.7314941272876263</v>
      </c>
      <c r="K75" s="3">
        <f t="shared" ref="K75:K138" si="12">LN(H75*H75/M75)</f>
        <v>3.3747600047271238</v>
      </c>
      <c r="M75">
        <f t="shared" ref="M75:M138" si="13">G75/328.2</f>
        <v>1.1154783668494821</v>
      </c>
    </row>
    <row r="76" spans="1:13" x14ac:dyDescent="0.25">
      <c r="A76" s="4" t="s">
        <v>77</v>
      </c>
      <c r="B76" s="4">
        <v>452</v>
      </c>
      <c r="C76">
        <f t="shared" si="7"/>
        <v>2.2599999999999998</v>
      </c>
      <c r="D76">
        <f t="shared" si="8"/>
        <v>366.1</v>
      </c>
      <c r="E76">
        <v>93.1</v>
      </c>
      <c r="G76">
        <f t="shared" si="9"/>
        <v>366.1</v>
      </c>
      <c r="H76" s="2">
        <f t="shared" si="10"/>
        <v>5.6340845070422532</v>
      </c>
      <c r="J76" s="2">
        <f t="shared" si="11"/>
        <v>2.7314941272876263</v>
      </c>
      <c r="K76" s="3">
        <f t="shared" si="12"/>
        <v>3.3483859961632163</v>
      </c>
      <c r="M76">
        <f t="shared" si="13"/>
        <v>1.1154783668494821</v>
      </c>
    </row>
    <row r="77" spans="1:13" x14ac:dyDescent="0.25">
      <c r="A77" s="4" t="s">
        <v>78</v>
      </c>
      <c r="B77" s="4">
        <v>447</v>
      </c>
      <c r="C77">
        <f t="shared" si="7"/>
        <v>2.2349999999999999</v>
      </c>
      <c r="D77">
        <f t="shared" si="8"/>
        <v>365.5</v>
      </c>
      <c r="E77">
        <v>92.5</v>
      </c>
      <c r="G77">
        <f t="shared" si="9"/>
        <v>365.5</v>
      </c>
      <c r="H77" s="2">
        <f t="shared" si="10"/>
        <v>5.5717605633802822</v>
      </c>
      <c r="J77" s="2">
        <f t="shared" si="11"/>
        <v>2.7359781121751028</v>
      </c>
      <c r="K77" s="3">
        <f t="shared" si="12"/>
        <v>3.3277790666622491</v>
      </c>
      <c r="M77">
        <f t="shared" si="13"/>
        <v>1.1136502132845827</v>
      </c>
    </row>
    <row r="78" spans="1:13" x14ac:dyDescent="0.25">
      <c r="A78" s="4" t="s">
        <v>79</v>
      </c>
      <c r="B78" s="4">
        <v>441</v>
      </c>
      <c r="C78">
        <f t="shared" si="7"/>
        <v>2.2050000000000001</v>
      </c>
      <c r="D78">
        <f t="shared" si="8"/>
        <v>365.5</v>
      </c>
      <c r="E78">
        <v>92.5</v>
      </c>
      <c r="G78">
        <f t="shared" si="9"/>
        <v>365.5</v>
      </c>
      <c r="H78" s="2">
        <f t="shared" si="10"/>
        <v>5.4969718309859159</v>
      </c>
      <c r="J78" s="2">
        <f t="shared" si="11"/>
        <v>2.7359781121751028</v>
      </c>
      <c r="K78" s="3">
        <f t="shared" si="12"/>
        <v>3.3007516283288036</v>
      </c>
      <c r="M78">
        <f t="shared" si="13"/>
        <v>1.1136502132845827</v>
      </c>
    </row>
    <row r="79" spans="1:13" x14ac:dyDescent="0.25">
      <c r="A79" s="4" t="s">
        <v>80</v>
      </c>
      <c r="B79" s="4">
        <v>435</v>
      </c>
      <c r="C79">
        <f t="shared" si="7"/>
        <v>2.1749999999999998</v>
      </c>
      <c r="D79">
        <f t="shared" si="8"/>
        <v>365.5</v>
      </c>
      <c r="E79">
        <v>92.5</v>
      </c>
      <c r="G79">
        <f t="shared" si="9"/>
        <v>365.5</v>
      </c>
      <c r="H79" s="2">
        <f t="shared" si="10"/>
        <v>5.4221830985915496</v>
      </c>
      <c r="J79" s="2">
        <f t="shared" si="11"/>
        <v>2.7359781121751028</v>
      </c>
      <c r="K79" s="3">
        <f t="shared" si="12"/>
        <v>3.2733539396124796</v>
      </c>
      <c r="M79">
        <f t="shared" si="13"/>
        <v>1.1136502132845827</v>
      </c>
    </row>
    <row r="80" spans="1:13" x14ac:dyDescent="0.25">
      <c r="A80" s="4" t="s">
        <v>81</v>
      </c>
      <c r="B80" s="4">
        <v>430</v>
      </c>
      <c r="C80">
        <f t="shared" si="7"/>
        <v>2.15</v>
      </c>
      <c r="D80">
        <f t="shared" si="8"/>
        <v>364.9</v>
      </c>
      <c r="E80">
        <v>91.9</v>
      </c>
      <c r="G80">
        <f t="shared" si="9"/>
        <v>364.9</v>
      </c>
      <c r="H80" s="2">
        <f t="shared" si="10"/>
        <v>5.3598591549295778</v>
      </c>
      <c r="J80" s="2">
        <f t="shared" si="11"/>
        <v>2.740476842970677</v>
      </c>
      <c r="K80" s="3">
        <f t="shared" si="12"/>
        <v>3.2518752305577592</v>
      </c>
      <c r="M80">
        <f t="shared" si="13"/>
        <v>1.1118220597196831</v>
      </c>
    </row>
    <row r="81" spans="1:13" x14ac:dyDescent="0.25">
      <c r="A81" s="4" t="s">
        <v>82</v>
      </c>
      <c r="B81" s="4">
        <v>425</v>
      </c>
      <c r="C81">
        <f t="shared" si="7"/>
        <v>2.125</v>
      </c>
      <c r="D81">
        <f t="shared" si="8"/>
        <v>364.9</v>
      </c>
      <c r="E81">
        <v>91.9</v>
      </c>
      <c r="G81">
        <f t="shared" si="9"/>
        <v>364.9</v>
      </c>
      <c r="H81" s="2">
        <f t="shared" si="10"/>
        <v>5.297535211267606</v>
      </c>
      <c r="J81" s="2">
        <f t="shared" si="11"/>
        <v>2.740476842970677</v>
      </c>
      <c r="K81" s="3">
        <f t="shared" si="12"/>
        <v>3.2284831510313765</v>
      </c>
      <c r="M81">
        <f t="shared" si="13"/>
        <v>1.1118220597196831</v>
      </c>
    </row>
    <row r="82" spans="1:13" x14ac:dyDescent="0.25">
      <c r="A82" s="4" t="s">
        <v>83</v>
      </c>
      <c r="B82" s="4">
        <v>419</v>
      </c>
      <c r="C82">
        <f t="shared" si="7"/>
        <v>2.0950000000000002</v>
      </c>
      <c r="D82">
        <f t="shared" si="8"/>
        <v>364.9</v>
      </c>
      <c r="E82">
        <v>91.9</v>
      </c>
      <c r="G82">
        <f t="shared" si="9"/>
        <v>364.9</v>
      </c>
      <c r="H82" s="2">
        <f t="shared" si="10"/>
        <v>5.2227464788732396</v>
      </c>
      <c r="J82" s="2">
        <f t="shared" si="11"/>
        <v>2.740476842970677</v>
      </c>
      <c r="K82" s="3">
        <f t="shared" si="12"/>
        <v>3.2000466530268183</v>
      </c>
      <c r="M82">
        <f t="shared" si="13"/>
        <v>1.1118220597196831</v>
      </c>
    </row>
    <row r="83" spans="1:13" x14ac:dyDescent="0.25">
      <c r="A83" s="4" t="s">
        <v>84</v>
      </c>
      <c r="B83" s="4">
        <v>416</v>
      </c>
      <c r="C83">
        <f t="shared" si="7"/>
        <v>2.08</v>
      </c>
      <c r="D83">
        <f t="shared" si="8"/>
        <v>364.4</v>
      </c>
      <c r="E83">
        <v>91.4</v>
      </c>
      <c r="G83">
        <f t="shared" si="9"/>
        <v>364.4</v>
      </c>
      <c r="H83" s="2">
        <f t="shared" si="10"/>
        <v>5.1853521126760569</v>
      </c>
      <c r="J83" s="2">
        <f t="shared" si="11"/>
        <v>2.7442371020856204</v>
      </c>
      <c r="K83" s="3">
        <f t="shared" si="12"/>
        <v>3.1870465117616682</v>
      </c>
      <c r="M83">
        <f t="shared" si="13"/>
        <v>1.1102985984156002</v>
      </c>
    </row>
    <row r="84" spans="1:13" x14ac:dyDescent="0.25">
      <c r="A84" s="4" t="s">
        <v>85</v>
      </c>
      <c r="B84" s="4">
        <v>412</v>
      </c>
      <c r="C84">
        <f t="shared" si="7"/>
        <v>2.06</v>
      </c>
      <c r="D84">
        <f t="shared" si="8"/>
        <v>364.4</v>
      </c>
      <c r="E84">
        <v>91.4</v>
      </c>
      <c r="G84">
        <f t="shared" si="9"/>
        <v>364.4</v>
      </c>
      <c r="H84" s="2">
        <f t="shared" si="10"/>
        <v>5.1354929577464787</v>
      </c>
      <c r="J84" s="2">
        <f t="shared" si="11"/>
        <v>2.7442371020856204</v>
      </c>
      <c r="K84" s="3">
        <f t="shared" si="12"/>
        <v>3.1677226899381941</v>
      </c>
      <c r="M84">
        <f t="shared" si="13"/>
        <v>1.1102985984156002</v>
      </c>
    </row>
    <row r="85" spans="1:13" x14ac:dyDescent="0.25">
      <c r="A85" s="4" t="s">
        <v>86</v>
      </c>
      <c r="B85" s="4">
        <v>406</v>
      </c>
      <c r="C85">
        <f t="shared" si="7"/>
        <v>2.0299999999999998</v>
      </c>
      <c r="D85">
        <f t="shared" si="8"/>
        <v>364.4</v>
      </c>
      <c r="E85">
        <v>91.4</v>
      </c>
      <c r="G85">
        <f t="shared" si="9"/>
        <v>364.4</v>
      </c>
      <c r="H85" s="2">
        <f t="shared" si="10"/>
        <v>5.0607042253521124</v>
      </c>
      <c r="J85" s="2">
        <f t="shared" si="11"/>
        <v>2.7442371020856204</v>
      </c>
      <c r="K85" s="3">
        <f t="shared" si="12"/>
        <v>3.1383823104426067</v>
      </c>
      <c r="M85">
        <f t="shared" si="13"/>
        <v>1.1102985984156002</v>
      </c>
    </row>
    <row r="86" spans="1:13" x14ac:dyDescent="0.25">
      <c r="A86" s="4" t="s">
        <v>87</v>
      </c>
      <c r="B86" s="4">
        <v>402</v>
      </c>
      <c r="C86">
        <f t="shared" si="7"/>
        <v>2.0099999999999998</v>
      </c>
      <c r="D86">
        <f t="shared" si="8"/>
        <v>363.8</v>
      </c>
      <c r="E86">
        <v>90.8</v>
      </c>
      <c r="G86">
        <f t="shared" si="9"/>
        <v>363.8</v>
      </c>
      <c r="H86" s="2">
        <f t="shared" si="10"/>
        <v>5.0108450704225351</v>
      </c>
      <c r="J86" s="2">
        <f t="shared" si="11"/>
        <v>2.7487630566245187</v>
      </c>
      <c r="K86" s="3">
        <f t="shared" si="12"/>
        <v>3.1202280677789647</v>
      </c>
      <c r="M86">
        <f t="shared" si="13"/>
        <v>1.1084704448507008</v>
      </c>
    </row>
    <row r="87" spans="1:13" x14ac:dyDescent="0.25">
      <c r="A87" s="4" t="s">
        <v>88</v>
      </c>
      <c r="B87" s="4">
        <v>397</v>
      </c>
      <c r="C87">
        <f t="shared" si="7"/>
        <v>1.9850000000000001</v>
      </c>
      <c r="D87">
        <f t="shared" si="8"/>
        <v>363.8</v>
      </c>
      <c r="E87">
        <v>90.8</v>
      </c>
      <c r="G87">
        <f t="shared" si="9"/>
        <v>363.8</v>
      </c>
      <c r="H87" s="2">
        <f t="shared" si="10"/>
        <v>4.9485211267605633</v>
      </c>
      <c r="J87" s="2">
        <f t="shared" si="11"/>
        <v>2.7487630566245187</v>
      </c>
      <c r="K87" s="3">
        <f t="shared" si="12"/>
        <v>3.0951964519153035</v>
      </c>
      <c r="M87">
        <f t="shared" si="13"/>
        <v>1.1084704448507008</v>
      </c>
    </row>
    <row r="88" spans="1:13" x14ac:dyDescent="0.25">
      <c r="A88" s="4" t="s">
        <v>89</v>
      </c>
      <c r="B88" s="4">
        <v>393</v>
      </c>
      <c r="C88">
        <f t="shared" si="7"/>
        <v>1.9650000000000001</v>
      </c>
      <c r="D88">
        <f t="shared" si="8"/>
        <v>363.8</v>
      </c>
      <c r="E88">
        <v>90.8</v>
      </c>
      <c r="G88">
        <f t="shared" si="9"/>
        <v>363.8</v>
      </c>
      <c r="H88" s="2">
        <f t="shared" si="10"/>
        <v>4.8986619718309861</v>
      </c>
      <c r="J88" s="2">
        <f t="shared" si="11"/>
        <v>2.7487630566245187</v>
      </c>
      <c r="K88" s="3">
        <f t="shared" si="12"/>
        <v>3.0749431142794452</v>
      </c>
      <c r="M88">
        <f t="shared" si="13"/>
        <v>1.1084704448507008</v>
      </c>
    </row>
    <row r="89" spans="1:13" x14ac:dyDescent="0.25">
      <c r="A89" s="4" t="s">
        <v>90</v>
      </c>
      <c r="B89" s="4">
        <v>389</v>
      </c>
      <c r="C89">
        <f t="shared" si="7"/>
        <v>1.9450000000000001</v>
      </c>
      <c r="D89">
        <f t="shared" si="8"/>
        <v>363.8</v>
      </c>
      <c r="E89">
        <v>90.8</v>
      </c>
      <c r="G89">
        <f t="shared" si="9"/>
        <v>363.8</v>
      </c>
      <c r="H89" s="2">
        <f t="shared" si="10"/>
        <v>4.8488028169014079</v>
      </c>
      <c r="J89" s="2">
        <f t="shared" si="11"/>
        <v>2.7487630566245187</v>
      </c>
      <c r="K89" s="3">
        <f t="shared" si="12"/>
        <v>3.0544825777778151</v>
      </c>
      <c r="M89">
        <f t="shared" si="13"/>
        <v>1.1084704448507008</v>
      </c>
    </row>
    <row r="90" spans="1:13" x14ac:dyDescent="0.25">
      <c r="A90" s="4" t="s">
        <v>91</v>
      </c>
      <c r="B90" s="4">
        <v>386</v>
      </c>
      <c r="C90">
        <f t="shared" si="7"/>
        <v>1.93</v>
      </c>
      <c r="D90">
        <f t="shared" si="8"/>
        <v>363.2</v>
      </c>
      <c r="E90">
        <v>90.2</v>
      </c>
      <c r="G90">
        <f t="shared" si="9"/>
        <v>363.2</v>
      </c>
      <c r="H90" s="2">
        <f t="shared" si="10"/>
        <v>4.8114084507042252</v>
      </c>
      <c r="J90" s="2">
        <f t="shared" si="11"/>
        <v>2.7533039647577096</v>
      </c>
      <c r="K90" s="3">
        <f t="shared" si="12"/>
        <v>3.0406492488274677</v>
      </c>
      <c r="M90">
        <f t="shared" si="13"/>
        <v>1.1066422912858014</v>
      </c>
    </row>
    <row r="91" spans="1:13" x14ac:dyDescent="0.25">
      <c r="A91" s="4" t="s">
        <v>92</v>
      </c>
      <c r="B91" s="4">
        <v>381</v>
      </c>
      <c r="C91">
        <f t="shared" si="7"/>
        <v>1.905</v>
      </c>
      <c r="D91">
        <f t="shared" si="8"/>
        <v>363.2</v>
      </c>
      <c r="E91">
        <v>90.2</v>
      </c>
      <c r="G91">
        <f t="shared" si="9"/>
        <v>363.2</v>
      </c>
      <c r="H91" s="2">
        <f t="shared" si="10"/>
        <v>4.7490845070422534</v>
      </c>
      <c r="J91" s="2">
        <f t="shared" si="11"/>
        <v>2.7533039647577096</v>
      </c>
      <c r="K91" s="3">
        <f t="shared" si="12"/>
        <v>3.0145732601512081</v>
      </c>
      <c r="M91">
        <f t="shared" si="13"/>
        <v>1.1066422912858014</v>
      </c>
    </row>
    <row r="92" spans="1:13" x14ac:dyDescent="0.25">
      <c r="A92" s="4" t="s">
        <v>93</v>
      </c>
      <c r="B92" s="4">
        <v>377</v>
      </c>
      <c r="C92">
        <f t="shared" si="7"/>
        <v>1.885</v>
      </c>
      <c r="D92">
        <f t="shared" si="8"/>
        <v>363.2</v>
      </c>
      <c r="E92">
        <v>90.2</v>
      </c>
      <c r="G92">
        <f t="shared" si="9"/>
        <v>363.2</v>
      </c>
      <c r="H92" s="2">
        <f t="shared" si="10"/>
        <v>4.6992253521126761</v>
      </c>
      <c r="J92" s="2">
        <f t="shared" si="11"/>
        <v>2.7533039647577096</v>
      </c>
      <c r="K92" s="3">
        <f t="shared" si="12"/>
        <v>2.9934648847938279</v>
      </c>
      <c r="M92">
        <f t="shared" si="13"/>
        <v>1.1066422912858014</v>
      </c>
    </row>
    <row r="93" spans="1:13" x14ac:dyDescent="0.25">
      <c r="A93" s="4" t="s">
        <v>94</v>
      </c>
      <c r="B93" s="4">
        <v>372</v>
      </c>
      <c r="C93">
        <f t="shared" si="7"/>
        <v>1.86</v>
      </c>
      <c r="D93">
        <f t="shared" si="8"/>
        <v>362.8</v>
      </c>
      <c r="E93">
        <v>89.8</v>
      </c>
      <c r="G93">
        <f t="shared" si="9"/>
        <v>362.8</v>
      </c>
      <c r="H93" s="2">
        <f t="shared" si="10"/>
        <v>4.6369014084507043</v>
      </c>
      <c r="J93" s="2">
        <f t="shared" si="11"/>
        <v>2.7563395810363835</v>
      </c>
      <c r="K93" s="3">
        <f t="shared" si="12"/>
        <v>2.967864146930256</v>
      </c>
      <c r="M93">
        <f t="shared" si="13"/>
        <v>1.105423522242535</v>
      </c>
    </row>
    <row r="94" spans="1:13" x14ac:dyDescent="0.25">
      <c r="A94" s="4" t="s">
        <v>95</v>
      </c>
      <c r="B94" s="4">
        <v>368</v>
      </c>
      <c r="C94">
        <f t="shared" si="7"/>
        <v>1.84</v>
      </c>
      <c r="D94">
        <f t="shared" si="8"/>
        <v>362.8</v>
      </c>
      <c r="E94">
        <v>89.8</v>
      </c>
      <c r="G94">
        <f t="shared" si="9"/>
        <v>362.8</v>
      </c>
      <c r="H94" s="2">
        <f t="shared" si="10"/>
        <v>4.587042253521127</v>
      </c>
      <c r="J94" s="2">
        <f t="shared" si="11"/>
        <v>2.7563395810363835</v>
      </c>
      <c r="K94" s="3">
        <f t="shared" si="12"/>
        <v>2.9462423147218253</v>
      </c>
      <c r="M94">
        <f t="shared" si="13"/>
        <v>1.105423522242535</v>
      </c>
    </row>
    <row r="95" spans="1:13" x14ac:dyDescent="0.25">
      <c r="A95" s="4" t="s">
        <v>96</v>
      </c>
      <c r="B95" s="4">
        <v>365</v>
      </c>
      <c r="C95">
        <f t="shared" si="7"/>
        <v>1.825</v>
      </c>
      <c r="D95">
        <f t="shared" si="8"/>
        <v>362.8</v>
      </c>
      <c r="E95">
        <v>89.8</v>
      </c>
      <c r="G95">
        <f t="shared" si="9"/>
        <v>362.8</v>
      </c>
      <c r="H95" s="2">
        <f t="shared" si="10"/>
        <v>4.5496478873239434</v>
      </c>
      <c r="J95" s="2">
        <f t="shared" si="11"/>
        <v>2.7563395810363835</v>
      </c>
      <c r="K95" s="3">
        <f t="shared" si="12"/>
        <v>2.9298711455489457</v>
      </c>
      <c r="M95">
        <f t="shared" si="13"/>
        <v>1.105423522242535</v>
      </c>
    </row>
    <row r="96" spans="1:13" x14ac:dyDescent="0.25">
      <c r="A96" s="4" t="s">
        <v>97</v>
      </c>
      <c r="B96" s="4">
        <v>362</v>
      </c>
      <c r="C96">
        <f t="shared" si="7"/>
        <v>1.81</v>
      </c>
      <c r="D96">
        <f t="shared" si="8"/>
        <v>362.2</v>
      </c>
      <c r="E96">
        <v>89.2</v>
      </c>
      <c r="G96">
        <f t="shared" si="9"/>
        <v>362.2</v>
      </c>
      <c r="H96" s="2">
        <f t="shared" si="10"/>
        <v>4.5122535211267607</v>
      </c>
      <c r="J96" s="2">
        <f t="shared" si="11"/>
        <v>2.7609055770292659</v>
      </c>
      <c r="K96" s="3">
        <f t="shared" si="12"/>
        <v>2.9150200348271738</v>
      </c>
      <c r="M96">
        <f t="shared" si="13"/>
        <v>1.1035953686776356</v>
      </c>
    </row>
    <row r="97" spans="1:13" x14ac:dyDescent="0.25">
      <c r="A97" s="4" t="s">
        <v>98</v>
      </c>
      <c r="B97" s="4">
        <v>357</v>
      </c>
      <c r="C97">
        <f t="shared" si="7"/>
        <v>1.7849999999999999</v>
      </c>
      <c r="D97">
        <f t="shared" si="8"/>
        <v>362.2</v>
      </c>
      <c r="E97">
        <v>89.2</v>
      </c>
      <c r="G97">
        <f t="shared" si="9"/>
        <v>362.2</v>
      </c>
      <c r="H97" s="2">
        <f t="shared" si="10"/>
        <v>4.4499295774647889</v>
      </c>
      <c r="J97" s="2">
        <f t="shared" si="11"/>
        <v>2.7609055770292659</v>
      </c>
      <c r="K97" s="3">
        <f t="shared" si="12"/>
        <v>2.8872031747349096</v>
      </c>
      <c r="M97">
        <f t="shared" si="13"/>
        <v>1.1035953686776356</v>
      </c>
    </row>
    <row r="98" spans="1:13" x14ac:dyDescent="0.25">
      <c r="A98" s="4" t="s">
        <v>99</v>
      </c>
      <c r="B98" s="4">
        <v>354</v>
      </c>
      <c r="C98">
        <f t="shared" si="7"/>
        <v>1.77</v>
      </c>
      <c r="D98">
        <f t="shared" si="8"/>
        <v>362.2</v>
      </c>
      <c r="E98">
        <v>89.2</v>
      </c>
      <c r="G98">
        <f t="shared" si="9"/>
        <v>362.2</v>
      </c>
      <c r="H98" s="2">
        <f t="shared" si="10"/>
        <v>4.4125352112676062</v>
      </c>
      <c r="J98" s="2">
        <f t="shared" si="11"/>
        <v>2.7609055770292659</v>
      </c>
      <c r="K98" s="3">
        <f t="shared" si="12"/>
        <v>2.8703254374431806</v>
      </c>
      <c r="M98">
        <f t="shared" si="13"/>
        <v>1.1035953686776356</v>
      </c>
    </row>
    <row r="99" spans="1:13" x14ac:dyDescent="0.25">
      <c r="A99" s="4" t="s">
        <v>100</v>
      </c>
      <c r="B99" s="4">
        <v>351</v>
      </c>
      <c r="C99">
        <f t="shared" si="7"/>
        <v>1.7549999999999999</v>
      </c>
      <c r="D99">
        <f t="shared" si="8"/>
        <v>361.7</v>
      </c>
      <c r="E99">
        <v>88.7</v>
      </c>
      <c r="G99">
        <f t="shared" si="9"/>
        <v>361.7</v>
      </c>
      <c r="H99" s="2">
        <f t="shared" si="10"/>
        <v>4.3751408450704226</v>
      </c>
      <c r="J99" s="2">
        <f t="shared" si="11"/>
        <v>2.7647221454243849</v>
      </c>
      <c r="K99" s="3">
        <f t="shared" si="12"/>
        <v>2.8546854645986239</v>
      </c>
      <c r="M99">
        <f t="shared" si="13"/>
        <v>1.1020719073735528</v>
      </c>
    </row>
    <row r="100" spans="1:13" x14ac:dyDescent="0.25">
      <c r="A100" s="4" t="s">
        <v>101</v>
      </c>
      <c r="B100" s="4">
        <v>347</v>
      </c>
      <c r="C100">
        <f t="shared" si="7"/>
        <v>1.7350000000000001</v>
      </c>
      <c r="D100">
        <f t="shared" si="8"/>
        <v>361.7</v>
      </c>
      <c r="E100">
        <v>88.7</v>
      </c>
      <c r="G100">
        <f t="shared" si="9"/>
        <v>361.7</v>
      </c>
      <c r="H100" s="2">
        <f t="shared" si="10"/>
        <v>4.3252816901408453</v>
      </c>
      <c r="J100" s="2">
        <f t="shared" si="11"/>
        <v>2.7647221454243849</v>
      </c>
      <c r="K100" s="3">
        <f t="shared" si="12"/>
        <v>2.8317625775606108</v>
      </c>
      <c r="M100">
        <f t="shared" si="13"/>
        <v>1.1020719073735528</v>
      </c>
    </row>
    <row r="101" spans="1:13" x14ac:dyDescent="0.25">
      <c r="A101" s="4" t="s">
        <v>102</v>
      </c>
      <c r="B101" s="4">
        <v>343</v>
      </c>
      <c r="C101">
        <f t="shared" si="7"/>
        <v>1.7150000000000001</v>
      </c>
      <c r="D101">
        <f t="shared" si="8"/>
        <v>361.7</v>
      </c>
      <c r="E101">
        <v>88.7</v>
      </c>
      <c r="G101">
        <f t="shared" si="9"/>
        <v>361.7</v>
      </c>
      <c r="H101" s="2">
        <f t="shared" si="10"/>
        <v>4.275422535211268</v>
      </c>
      <c r="J101" s="2">
        <f t="shared" si="11"/>
        <v>2.7647221454243849</v>
      </c>
      <c r="K101" s="3">
        <f t="shared" si="12"/>
        <v>2.8085739119987725</v>
      </c>
      <c r="M101">
        <f t="shared" si="13"/>
        <v>1.1020719073735528</v>
      </c>
    </row>
    <row r="102" spans="1:13" x14ac:dyDescent="0.25">
      <c r="A102" s="4" t="s">
        <v>103</v>
      </c>
      <c r="B102" s="4">
        <v>340</v>
      </c>
      <c r="C102">
        <f t="shared" si="7"/>
        <v>1.7</v>
      </c>
      <c r="D102">
        <f t="shared" si="8"/>
        <v>361.1</v>
      </c>
      <c r="E102">
        <v>88.1</v>
      </c>
      <c r="G102">
        <f t="shared" si="9"/>
        <v>361.1</v>
      </c>
      <c r="H102" s="2">
        <f t="shared" si="10"/>
        <v>4.2380281690140844</v>
      </c>
      <c r="J102" s="2">
        <f t="shared" si="11"/>
        <v>2.7693159789531983</v>
      </c>
      <c r="K102" s="3">
        <f t="shared" si="12"/>
        <v>2.7926644635619469</v>
      </c>
      <c r="M102">
        <f t="shared" si="13"/>
        <v>1.1002437538086534</v>
      </c>
    </row>
    <row r="103" spans="1:13" x14ac:dyDescent="0.25">
      <c r="A103" s="4" t="s">
        <v>104</v>
      </c>
      <c r="B103" s="4">
        <v>337</v>
      </c>
      <c r="C103">
        <f t="shared" si="7"/>
        <v>1.6850000000000001</v>
      </c>
      <c r="D103">
        <f t="shared" si="8"/>
        <v>361.1</v>
      </c>
      <c r="E103">
        <v>88.1</v>
      </c>
      <c r="G103">
        <f t="shared" si="9"/>
        <v>361.1</v>
      </c>
      <c r="H103" s="2">
        <f t="shared" si="10"/>
        <v>4.2006338028169017</v>
      </c>
      <c r="J103" s="2">
        <f t="shared" si="11"/>
        <v>2.7693159789531983</v>
      </c>
      <c r="K103" s="3">
        <f t="shared" si="12"/>
        <v>2.774939089046256</v>
      </c>
      <c r="M103">
        <f t="shared" si="13"/>
        <v>1.1002437538086534</v>
      </c>
    </row>
    <row r="104" spans="1:13" x14ac:dyDescent="0.25">
      <c r="A104" s="4" t="s">
        <v>105</v>
      </c>
      <c r="B104" s="4">
        <v>334</v>
      </c>
      <c r="C104">
        <f t="shared" si="7"/>
        <v>1.67</v>
      </c>
      <c r="D104">
        <f t="shared" si="8"/>
        <v>361.1</v>
      </c>
      <c r="E104">
        <v>88.1</v>
      </c>
      <c r="G104">
        <f t="shared" si="9"/>
        <v>361.1</v>
      </c>
      <c r="H104" s="2">
        <f t="shared" si="10"/>
        <v>4.1632394366197181</v>
      </c>
      <c r="J104" s="2">
        <f t="shared" si="11"/>
        <v>2.7693159789531983</v>
      </c>
      <c r="K104" s="3">
        <f t="shared" si="12"/>
        <v>2.7570552142949332</v>
      </c>
      <c r="M104">
        <f t="shared" si="13"/>
        <v>1.1002437538086534</v>
      </c>
    </row>
    <row r="105" spans="1:13" x14ac:dyDescent="0.25">
      <c r="A105" s="4" t="s">
        <v>106</v>
      </c>
      <c r="B105" s="4">
        <v>331</v>
      </c>
      <c r="C105">
        <f t="shared" si="7"/>
        <v>1.655</v>
      </c>
      <c r="D105">
        <f t="shared" si="8"/>
        <v>361.1</v>
      </c>
      <c r="E105">
        <v>88.1</v>
      </c>
      <c r="G105">
        <f t="shared" si="9"/>
        <v>361.1</v>
      </c>
      <c r="H105" s="2">
        <f t="shared" si="10"/>
        <v>4.1258450704225353</v>
      </c>
      <c r="J105" s="2">
        <f t="shared" si="11"/>
        <v>2.7693159789531983</v>
      </c>
      <c r="K105" s="3">
        <f t="shared" si="12"/>
        <v>2.7390099790956586</v>
      </c>
      <c r="M105">
        <f t="shared" si="13"/>
        <v>1.1002437538086534</v>
      </c>
    </row>
    <row r="106" spans="1:13" x14ac:dyDescent="0.25">
      <c r="A106" s="4" t="s">
        <v>107</v>
      </c>
      <c r="B106" s="4">
        <v>329</v>
      </c>
      <c r="C106">
        <f t="shared" si="7"/>
        <v>1.645</v>
      </c>
      <c r="D106">
        <f t="shared" si="8"/>
        <v>360.5</v>
      </c>
      <c r="E106">
        <v>87.5</v>
      </c>
      <c r="G106">
        <f t="shared" si="9"/>
        <v>360.5</v>
      </c>
      <c r="H106" s="2">
        <f t="shared" si="10"/>
        <v>4.1009154929577472</v>
      </c>
      <c r="J106" s="2">
        <f t="shared" si="11"/>
        <v>2.7739251040221915</v>
      </c>
      <c r="K106" s="3">
        <f t="shared" si="12"/>
        <v>2.728551701430685</v>
      </c>
      <c r="M106">
        <f t="shared" si="13"/>
        <v>1.098415600243754</v>
      </c>
    </row>
    <row r="107" spans="1:13" x14ac:dyDescent="0.25">
      <c r="A107" s="4" t="s">
        <v>108</v>
      </c>
      <c r="B107" s="4">
        <v>325</v>
      </c>
      <c r="C107">
        <f t="shared" si="7"/>
        <v>1.625</v>
      </c>
      <c r="D107">
        <f t="shared" si="8"/>
        <v>360.5</v>
      </c>
      <c r="E107">
        <v>87.5</v>
      </c>
      <c r="G107">
        <f t="shared" si="9"/>
        <v>360.5</v>
      </c>
      <c r="H107" s="2">
        <f t="shared" si="10"/>
        <v>4.051056338028169</v>
      </c>
      <c r="J107" s="2">
        <f t="shared" si="11"/>
        <v>2.7739251040221915</v>
      </c>
      <c r="K107" s="3">
        <f t="shared" si="12"/>
        <v>2.7040865645594159</v>
      </c>
      <c r="M107">
        <f t="shared" si="13"/>
        <v>1.098415600243754</v>
      </c>
    </row>
    <row r="108" spans="1:13" x14ac:dyDescent="0.25">
      <c r="A108" s="4" t="s">
        <v>109</v>
      </c>
      <c r="B108" s="4">
        <v>322</v>
      </c>
      <c r="C108">
        <f t="shared" si="7"/>
        <v>1.61</v>
      </c>
      <c r="D108">
        <f t="shared" si="8"/>
        <v>360.5</v>
      </c>
      <c r="E108">
        <v>87.5</v>
      </c>
      <c r="G108">
        <f t="shared" si="9"/>
        <v>360.5</v>
      </c>
      <c r="H108" s="2">
        <f t="shared" si="10"/>
        <v>4.0136619718309863</v>
      </c>
      <c r="J108" s="2">
        <f t="shared" si="11"/>
        <v>2.7739251040221915</v>
      </c>
      <c r="K108" s="3">
        <f t="shared" si="12"/>
        <v>2.6855392909887574</v>
      </c>
      <c r="M108">
        <f t="shared" si="13"/>
        <v>1.098415600243754</v>
      </c>
    </row>
    <row r="109" spans="1:13" x14ac:dyDescent="0.25">
      <c r="A109" s="4" t="s">
        <v>110</v>
      </c>
      <c r="B109" s="4">
        <v>320</v>
      </c>
      <c r="C109">
        <f t="shared" si="7"/>
        <v>1.6</v>
      </c>
      <c r="D109">
        <f t="shared" si="8"/>
        <v>359.9</v>
      </c>
      <c r="E109">
        <v>86.9</v>
      </c>
      <c r="G109">
        <f t="shared" si="9"/>
        <v>359.9</v>
      </c>
      <c r="H109" s="2">
        <f t="shared" si="10"/>
        <v>3.9887323943661972</v>
      </c>
      <c r="J109" s="2">
        <f t="shared" si="11"/>
        <v>2.7785495971103087</v>
      </c>
      <c r="K109" s="3">
        <f t="shared" si="12"/>
        <v>2.674743933127504</v>
      </c>
      <c r="M109">
        <f t="shared" si="13"/>
        <v>1.0965874466788543</v>
      </c>
    </row>
    <row r="110" spans="1:13" x14ac:dyDescent="0.25">
      <c r="A110" s="4" t="s">
        <v>111</v>
      </c>
      <c r="B110" s="4">
        <v>316</v>
      </c>
      <c r="C110">
        <f t="shared" si="7"/>
        <v>1.58</v>
      </c>
      <c r="D110">
        <f t="shared" si="8"/>
        <v>359.9</v>
      </c>
      <c r="E110">
        <v>86.9</v>
      </c>
      <c r="G110">
        <f t="shared" si="9"/>
        <v>359.9</v>
      </c>
      <c r="H110" s="2">
        <f t="shared" si="10"/>
        <v>3.9388732394366199</v>
      </c>
      <c r="J110" s="2">
        <f t="shared" si="11"/>
        <v>2.7785495971103087</v>
      </c>
      <c r="K110" s="3">
        <f t="shared" si="12"/>
        <v>2.6495863687137837</v>
      </c>
      <c r="M110">
        <f t="shared" si="13"/>
        <v>1.0965874466788543</v>
      </c>
    </row>
    <row r="111" spans="1:13" x14ac:dyDescent="0.25">
      <c r="A111" s="4" t="s">
        <v>112</v>
      </c>
      <c r="B111" s="4">
        <v>313</v>
      </c>
      <c r="C111">
        <f t="shared" si="7"/>
        <v>1.5649999999999999</v>
      </c>
      <c r="D111">
        <f t="shared" si="8"/>
        <v>359.9</v>
      </c>
      <c r="E111">
        <v>86.9</v>
      </c>
      <c r="G111">
        <f t="shared" si="9"/>
        <v>359.9</v>
      </c>
      <c r="H111" s="2">
        <f t="shared" si="10"/>
        <v>3.9014788732394368</v>
      </c>
      <c r="J111" s="2">
        <f t="shared" si="11"/>
        <v>2.7785495971103087</v>
      </c>
      <c r="K111" s="3">
        <f t="shared" si="12"/>
        <v>2.6305083226202659</v>
      </c>
      <c r="M111">
        <f t="shared" si="13"/>
        <v>1.0965874466788543</v>
      </c>
    </row>
    <row r="112" spans="1:13" x14ac:dyDescent="0.25">
      <c r="A112" s="4" t="s">
        <v>113</v>
      </c>
      <c r="B112" s="4">
        <v>310</v>
      </c>
      <c r="C112">
        <f t="shared" si="7"/>
        <v>1.55</v>
      </c>
      <c r="D112">
        <f t="shared" si="8"/>
        <v>359</v>
      </c>
      <c r="E112">
        <v>86</v>
      </c>
      <c r="G112">
        <f t="shared" si="9"/>
        <v>359</v>
      </c>
      <c r="H112" s="2">
        <f t="shared" si="10"/>
        <v>3.864084507042254</v>
      </c>
      <c r="J112" s="2">
        <f t="shared" si="11"/>
        <v>2.785515320334262</v>
      </c>
      <c r="K112" s="3">
        <f t="shared" si="12"/>
        <v>2.61375036309505</v>
      </c>
      <c r="M112">
        <f t="shared" si="13"/>
        <v>1.0938452163315051</v>
      </c>
    </row>
    <row r="113" spans="1:13" x14ac:dyDescent="0.25">
      <c r="A113" s="4" t="s">
        <v>114</v>
      </c>
      <c r="B113" s="4">
        <v>309</v>
      </c>
      <c r="C113">
        <f t="shared" si="7"/>
        <v>1.5449999999999999</v>
      </c>
      <c r="D113">
        <f t="shared" si="8"/>
        <v>359</v>
      </c>
      <c r="E113">
        <v>86</v>
      </c>
      <c r="G113">
        <f t="shared" si="9"/>
        <v>359</v>
      </c>
      <c r="H113" s="2">
        <f t="shared" si="10"/>
        <v>3.8516197183098586</v>
      </c>
      <c r="J113" s="2">
        <f t="shared" si="11"/>
        <v>2.785515320334262</v>
      </c>
      <c r="K113" s="3">
        <f t="shared" si="12"/>
        <v>2.6072883219321565</v>
      </c>
      <c r="M113">
        <f t="shared" si="13"/>
        <v>1.0938452163315051</v>
      </c>
    </row>
    <row r="114" spans="1:13" x14ac:dyDescent="0.25">
      <c r="A114" s="4" t="s">
        <v>115</v>
      </c>
      <c r="B114" s="4">
        <v>307</v>
      </c>
      <c r="C114">
        <f t="shared" si="7"/>
        <v>1.5349999999999999</v>
      </c>
      <c r="D114">
        <f t="shared" si="8"/>
        <v>359</v>
      </c>
      <c r="E114">
        <v>86</v>
      </c>
      <c r="G114">
        <f t="shared" si="9"/>
        <v>359</v>
      </c>
      <c r="H114" s="2">
        <f t="shared" si="10"/>
        <v>3.8266901408450704</v>
      </c>
      <c r="J114" s="2">
        <f t="shared" si="11"/>
        <v>2.785515320334262</v>
      </c>
      <c r="K114" s="3">
        <f t="shared" si="12"/>
        <v>2.5943012633110603</v>
      </c>
      <c r="M114">
        <f t="shared" si="13"/>
        <v>1.0938452163315051</v>
      </c>
    </row>
    <row r="115" spans="1:13" x14ac:dyDescent="0.25">
      <c r="A115" s="4" t="s">
        <v>116</v>
      </c>
      <c r="B115" s="4">
        <v>306</v>
      </c>
      <c r="C115">
        <f t="shared" si="7"/>
        <v>1.53</v>
      </c>
      <c r="D115">
        <f t="shared" si="8"/>
        <v>358.5</v>
      </c>
      <c r="E115">
        <v>85.5</v>
      </c>
      <c r="G115">
        <f t="shared" si="9"/>
        <v>358.5</v>
      </c>
      <c r="H115" s="2">
        <f t="shared" si="10"/>
        <v>3.8142253521126759</v>
      </c>
      <c r="J115" s="2">
        <f t="shared" si="11"/>
        <v>2.7894002789400281</v>
      </c>
      <c r="K115" s="3">
        <f t="shared" si="12"/>
        <v>2.5891697004900309</v>
      </c>
      <c r="M115">
        <f t="shared" si="13"/>
        <v>1.0923217550274222</v>
      </c>
    </row>
    <row r="116" spans="1:13" x14ac:dyDescent="0.25">
      <c r="A116" s="4" t="s">
        <v>117</v>
      </c>
      <c r="B116" s="4">
        <v>302</v>
      </c>
      <c r="C116">
        <f t="shared" si="7"/>
        <v>1.51</v>
      </c>
      <c r="D116">
        <f t="shared" si="8"/>
        <v>358.5</v>
      </c>
      <c r="E116">
        <v>85.5</v>
      </c>
      <c r="G116">
        <f t="shared" si="9"/>
        <v>358.5</v>
      </c>
      <c r="H116" s="2">
        <f t="shared" si="10"/>
        <v>3.7643661971830982</v>
      </c>
      <c r="J116" s="2">
        <f t="shared" si="11"/>
        <v>2.7894002789400281</v>
      </c>
      <c r="K116" s="3">
        <f t="shared" si="12"/>
        <v>2.5628535313350085</v>
      </c>
      <c r="M116">
        <f t="shared" si="13"/>
        <v>1.0923217550274222</v>
      </c>
    </row>
    <row r="117" spans="1:13" x14ac:dyDescent="0.25">
      <c r="A117" s="4" t="s">
        <v>118</v>
      </c>
      <c r="B117" s="4">
        <v>300</v>
      </c>
      <c r="C117">
        <f t="shared" si="7"/>
        <v>1.5</v>
      </c>
      <c r="D117">
        <f t="shared" si="8"/>
        <v>358.5</v>
      </c>
      <c r="E117">
        <v>85.5</v>
      </c>
      <c r="G117">
        <f t="shared" si="9"/>
        <v>358.5</v>
      </c>
      <c r="H117" s="2">
        <f t="shared" si="10"/>
        <v>3.73943661971831</v>
      </c>
      <c r="J117" s="2">
        <f t="shared" si="11"/>
        <v>2.7894002789400281</v>
      </c>
      <c r="K117" s="3">
        <f t="shared" si="12"/>
        <v>2.5495644458976718</v>
      </c>
      <c r="M117">
        <f t="shared" si="13"/>
        <v>1.0923217550274222</v>
      </c>
    </row>
    <row r="118" spans="1:13" x14ac:dyDescent="0.25">
      <c r="A118" s="4" t="s">
        <v>119</v>
      </c>
      <c r="B118" s="4">
        <v>298</v>
      </c>
      <c r="C118">
        <f t="shared" si="7"/>
        <v>1.49</v>
      </c>
      <c r="D118">
        <f t="shared" si="8"/>
        <v>357.9</v>
      </c>
      <c r="E118">
        <v>84.9</v>
      </c>
      <c r="G118">
        <f t="shared" si="9"/>
        <v>357.9</v>
      </c>
      <c r="H118" s="2">
        <f t="shared" si="10"/>
        <v>3.7145070422535214</v>
      </c>
      <c r="J118" s="2">
        <f t="shared" si="11"/>
        <v>2.7940765576976809</v>
      </c>
      <c r="K118" s="3">
        <f t="shared" si="12"/>
        <v>2.5378615118637735</v>
      </c>
      <c r="M118">
        <f t="shared" si="13"/>
        <v>1.0904936014625228</v>
      </c>
    </row>
    <row r="119" spans="1:13" x14ac:dyDescent="0.25">
      <c r="A119" s="4" t="s">
        <v>120</v>
      </c>
      <c r="B119" s="4">
        <v>295</v>
      </c>
      <c r="C119">
        <f t="shared" si="7"/>
        <v>1.4750000000000001</v>
      </c>
      <c r="D119">
        <f t="shared" si="8"/>
        <v>357.9</v>
      </c>
      <c r="E119">
        <v>84.9</v>
      </c>
      <c r="G119">
        <f t="shared" si="9"/>
        <v>357.9</v>
      </c>
      <c r="H119" s="2">
        <f t="shared" si="10"/>
        <v>3.6771126760563377</v>
      </c>
      <c r="J119" s="2">
        <f t="shared" si="11"/>
        <v>2.7940765576976809</v>
      </c>
      <c r="K119" s="3">
        <f t="shared" si="12"/>
        <v>2.5176252515326039</v>
      </c>
      <c r="M119">
        <f t="shared" si="13"/>
        <v>1.0904936014625228</v>
      </c>
    </row>
    <row r="120" spans="1:13" x14ac:dyDescent="0.25">
      <c r="A120" s="4" t="s">
        <v>121</v>
      </c>
      <c r="B120" s="4">
        <v>294</v>
      </c>
      <c r="C120">
        <f t="shared" si="7"/>
        <v>1.47</v>
      </c>
      <c r="D120">
        <f t="shared" si="8"/>
        <v>357.9</v>
      </c>
      <c r="E120">
        <v>84.9</v>
      </c>
      <c r="G120">
        <f t="shared" si="9"/>
        <v>357.9</v>
      </c>
      <c r="H120" s="2">
        <f t="shared" si="10"/>
        <v>3.6646478873239436</v>
      </c>
      <c r="J120" s="2">
        <f t="shared" si="11"/>
        <v>2.7940765576976809</v>
      </c>
      <c r="K120" s="3">
        <f t="shared" si="12"/>
        <v>2.5108340735303276</v>
      </c>
      <c r="M120">
        <f t="shared" si="13"/>
        <v>1.0904936014625228</v>
      </c>
    </row>
    <row r="121" spans="1:13" x14ac:dyDescent="0.25">
      <c r="A121" s="4" t="s">
        <v>122</v>
      </c>
      <c r="B121" s="4">
        <v>290</v>
      </c>
      <c r="C121">
        <f t="shared" si="7"/>
        <v>1.45</v>
      </c>
      <c r="D121">
        <f t="shared" si="8"/>
        <v>357.9</v>
      </c>
      <c r="E121">
        <v>84.9</v>
      </c>
      <c r="G121">
        <f t="shared" si="9"/>
        <v>357.9</v>
      </c>
      <c r="H121" s="2">
        <f t="shared" si="10"/>
        <v>3.6147887323943659</v>
      </c>
      <c r="J121" s="2">
        <f t="shared" si="11"/>
        <v>2.7940765576976809</v>
      </c>
      <c r="K121" s="3">
        <f t="shared" si="12"/>
        <v>2.4834363848140035</v>
      </c>
      <c r="M121">
        <f t="shared" si="13"/>
        <v>1.0904936014625228</v>
      </c>
    </row>
    <row r="122" spans="1:13" x14ac:dyDescent="0.25">
      <c r="A122" s="4" t="s">
        <v>123</v>
      </c>
      <c r="B122" s="4">
        <v>288</v>
      </c>
      <c r="C122">
        <f t="shared" si="7"/>
        <v>1.44</v>
      </c>
      <c r="D122">
        <f t="shared" si="8"/>
        <v>357</v>
      </c>
      <c r="E122">
        <v>84</v>
      </c>
      <c r="G122">
        <f t="shared" si="9"/>
        <v>357</v>
      </c>
      <c r="H122" s="2">
        <f t="shared" si="10"/>
        <v>3.5898591549295773</v>
      </c>
      <c r="J122" s="2">
        <f t="shared" si="11"/>
        <v>2.8011204481792715</v>
      </c>
      <c r="K122" s="3">
        <f t="shared" si="12"/>
        <v>2.4721133351171973</v>
      </c>
      <c r="M122">
        <f t="shared" si="13"/>
        <v>1.0877513711151736</v>
      </c>
    </row>
    <row r="123" spans="1:13" x14ac:dyDescent="0.25">
      <c r="A123" s="4" t="s">
        <v>124</v>
      </c>
      <c r="B123" s="4">
        <v>287</v>
      </c>
      <c r="C123">
        <f t="shared" si="7"/>
        <v>1.4350000000000001</v>
      </c>
      <c r="D123">
        <f t="shared" si="8"/>
        <v>357</v>
      </c>
      <c r="E123">
        <v>84</v>
      </c>
      <c r="G123">
        <f t="shared" si="9"/>
        <v>357</v>
      </c>
      <c r="H123" s="2">
        <f t="shared" si="10"/>
        <v>3.5773943661971832</v>
      </c>
      <c r="J123" s="2">
        <f t="shared" si="11"/>
        <v>2.8011204481792715</v>
      </c>
      <c r="K123" s="3">
        <f t="shared" si="12"/>
        <v>2.4651568063645479</v>
      </c>
      <c r="M123">
        <f t="shared" si="13"/>
        <v>1.0877513711151736</v>
      </c>
    </row>
    <row r="124" spans="1:13" x14ac:dyDescent="0.25">
      <c r="A124" s="4" t="s">
        <v>125</v>
      </c>
      <c r="B124" s="4">
        <v>285</v>
      </c>
      <c r="C124">
        <f t="shared" si="7"/>
        <v>1.425</v>
      </c>
      <c r="D124">
        <f t="shared" si="8"/>
        <v>357</v>
      </c>
      <c r="E124">
        <v>84</v>
      </c>
      <c r="G124">
        <f t="shared" si="9"/>
        <v>357</v>
      </c>
      <c r="H124" s="2">
        <f t="shared" si="10"/>
        <v>3.5524647887323941</v>
      </c>
      <c r="J124" s="2">
        <f t="shared" si="11"/>
        <v>2.8011204481792715</v>
      </c>
      <c r="K124" s="3">
        <f t="shared" si="12"/>
        <v>2.4511707353826067</v>
      </c>
      <c r="M124">
        <f t="shared" si="13"/>
        <v>1.0877513711151736</v>
      </c>
    </row>
    <row r="125" spans="1:13" x14ac:dyDescent="0.25">
      <c r="A125" s="4" t="s">
        <v>126</v>
      </c>
      <c r="B125" s="4">
        <v>282</v>
      </c>
      <c r="C125">
        <f t="shared" si="7"/>
        <v>1.41</v>
      </c>
      <c r="D125">
        <f t="shared" si="8"/>
        <v>356.5</v>
      </c>
      <c r="E125">
        <v>83.5</v>
      </c>
      <c r="G125">
        <f t="shared" si="9"/>
        <v>356.5</v>
      </c>
      <c r="H125" s="2">
        <f t="shared" si="10"/>
        <v>3.515070422535211</v>
      </c>
      <c r="J125" s="2">
        <f t="shared" si="11"/>
        <v>2.8050490883590462</v>
      </c>
      <c r="K125" s="3">
        <f t="shared" si="12"/>
        <v>2.431408058646821</v>
      </c>
      <c r="M125">
        <f t="shared" si="13"/>
        <v>1.0862279098110907</v>
      </c>
    </row>
    <row r="126" spans="1:13" x14ac:dyDescent="0.25">
      <c r="A126" s="4" t="s">
        <v>127</v>
      </c>
      <c r="B126" s="4">
        <v>278</v>
      </c>
      <c r="C126">
        <f t="shared" si="7"/>
        <v>1.39</v>
      </c>
      <c r="D126">
        <f t="shared" si="8"/>
        <v>356.5</v>
      </c>
      <c r="E126">
        <v>83.5</v>
      </c>
      <c r="G126">
        <f t="shared" si="9"/>
        <v>356.5</v>
      </c>
      <c r="H126" s="2">
        <f t="shared" si="10"/>
        <v>3.4652112676056337</v>
      </c>
      <c r="J126" s="2">
        <f t="shared" si="11"/>
        <v>2.8050490883590462</v>
      </c>
      <c r="K126" s="3">
        <f t="shared" si="12"/>
        <v>2.402836144151868</v>
      </c>
      <c r="M126">
        <f t="shared" si="13"/>
        <v>1.0862279098110907</v>
      </c>
    </row>
    <row r="127" spans="1:13" x14ac:dyDescent="0.25">
      <c r="A127" s="4" t="s">
        <v>128</v>
      </c>
      <c r="B127" s="4">
        <v>277</v>
      </c>
      <c r="C127">
        <f t="shared" si="7"/>
        <v>1.385</v>
      </c>
      <c r="D127">
        <f t="shared" si="8"/>
        <v>356.5</v>
      </c>
      <c r="E127">
        <v>83.5</v>
      </c>
      <c r="G127">
        <f t="shared" si="9"/>
        <v>356.5</v>
      </c>
      <c r="H127" s="2">
        <f t="shared" si="10"/>
        <v>3.4527464788732396</v>
      </c>
      <c r="J127" s="2">
        <f t="shared" si="11"/>
        <v>2.8050490883590462</v>
      </c>
      <c r="K127" s="3">
        <f t="shared" si="12"/>
        <v>2.3956289291452713</v>
      </c>
      <c r="M127">
        <f t="shared" si="13"/>
        <v>1.0862279098110907</v>
      </c>
    </row>
    <row r="128" spans="1:13" x14ac:dyDescent="0.25">
      <c r="A128" s="4" t="s">
        <v>129</v>
      </c>
      <c r="B128" s="4">
        <v>277</v>
      </c>
      <c r="C128">
        <f t="shared" si="7"/>
        <v>1.385</v>
      </c>
      <c r="D128">
        <f t="shared" si="8"/>
        <v>356</v>
      </c>
      <c r="E128">
        <v>83</v>
      </c>
      <c r="G128">
        <f t="shared" si="9"/>
        <v>356</v>
      </c>
      <c r="H128" s="2">
        <f t="shared" si="10"/>
        <v>3.4527464788732396</v>
      </c>
      <c r="J128" s="2">
        <f t="shared" si="11"/>
        <v>2.808988764044944</v>
      </c>
      <c r="K128" s="3">
        <f t="shared" si="12"/>
        <v>2.3970324381475914</v>
      </c>
      <c r="M128">
        <f t="shared" si="13"/>
        <v>1.0847044485070079</v>
      </c>
    </row>
    <row r="129" spans="1:13" x14ac:dyDescent="0.25">
      <c r="A129" s="4" t="s">
        <v>130</v>
      </c>
      <c r="B129" s="4">
        <v>276</v>
      </c>
      <c r="C129">
        <f t="shared" si="7"/>
        <v>1.38</v>
      </c>
      <c r="D129">
        <f t="shared" si="8"/>
        <v>356</v>
      </c>
      <c r="E129">
        <v>83</v>
      </c>
      <c r="G129">
        <f t="shared" si="9"/>
        <v>356</v>
      </c>
      <c r="H129" s="2">
        <f t="shared" si="10"/>
        <v>3.4402816901408451</v>
      </c>
      <c r="J129" s="2">
        <f t="shared" si="11"/>
        <v>2.808988764044944</v>
      </c>
      <c r="K129" s="3">
        <f t="shared" si="12"/>
        <v>2.3897991572072139</v>
      </c>
      <c r="M129">
        <f t="shared" si="13"/>
        <v>1.0847044485070079</v>
      </c>
    </row>
    <row r="130" spans="1:13" x14ac:dyDescent="0.25">
      <c r="A130" s="4" t="s">
        <v>131</v>
      </c>
      <c r="B130" s="4">
        <v>274</v>
      </c>
      <c r="C130">
        <f t="shared" si="7"/>
        <v>1.37</v>
      </c>
      <c r="D130">
        <f t="shared" si="8"/>
        <v>356</v>
      </c>
      <c r="E130">
        <v>83</v>
      </c>
      <c r="G130">
        <f t="shared" si="9"/>
        <v>356</v>
      </c>
      <c r="H130" s="2">
        <f t="shared" si="10"/>
        <v>3.4153521126760564</v>
      </c>
      <c r="J130" s="2">
        <f t="shared" si="11"/>
        <v>2.808988764044944</v>
      </c>
      <c r="K130" s="3">
        <f t="shared" si="12"/>
        <v>2.3752536385490548</v>
      </c>
      <c r="M130">
        <f t="shared" si="13"/>
        <v>1.0847044485070079</v>
      </c>
    </row>
    <row r="131" spans="1:13" x14ac:dyDescent="0.25">
      <c r="A131" s="4" t="s">
        <v>132</v>
      </c>
      <c r="B131" s="4">
        <v>273</v>
      </c>
      <c r="C131">
        <f t="shared" si="7"/>
        <v>1.365</v>
      </c>
      <c r="D131">
        <f t="shared" si="8"/>
        <v>355.3</v>
      </c>
      <c r="E131">
        <v>82.3</v>
      </c>
      <c r="G131">
        <f t="shared" si="9"/>
        <v>355.3</v>
      </c>
      <c r="H131" s="2">
        <f t="shared" si="10"/>
        <v>3.4028873239436619</v>
      </c>
      <c r="J131" s="2">
        <f t="shared" si="11"/>
        <v>2.8145229383619474</v>
      </c>
      <c r="K131" s="3">
        <f t="shared" si="12"/>
        <v>2.3699092439678826</v>
      </c>
      <c r="M131">
        <f t="shared" si="13"/>
        <v>1.0825716026812919</v>
      </c>
    </row>
    <row r="132" spans="1:13" x14ac:dyDescent="0.25">
      <c r="A132" s="4" t="s">
        <v>133</v>
      </c>
      <c r="B132" s="4">
        <v>271</v>
      </c>
      <c r="C132">
        <f t="shared" si="7"/>
        <v>1.355</v>
      </c>
      <c r="D132">
        <f t="shared" si="8"/>
        <v>355.3</v>
      </c>
      <c r="E132">
        <v>82.3</v>
      </c>
      <c r="G132">
        <f t="shared" si="9"/>
        <v>355.3</v>
      </c>
      <c r="H132" s="2">
        <f t="shared" si="10"/>
        <v>3.3779577464788733</v>
      </c>
      <c r="J132" s="2">
        <f t="shared" si="11"/>
        <v>2.8145229383619474</v>
      </c>
      <c r="K132" s="3">
        <f t="shared" si="12"/>
        <v>2.3552032953573647</v>
      </c>
      <c r="M132">
        <f t="shared" si="13"/>
        <v>1.0825716026812919</v>
      </c>
    </row>
    <row r="133" spans="1:13" x14ac:dyDescent="0.25">
      <c r="A133" s="4" t="s">
        <v>134</v>
      </c>
      <c r="B133" s="4">
        <v>269</v>
      </c>
      <c r="C133">
        <f t="shared" si="7"/>
        <v>1.345</v>
      </c>
      <c r="D133">
        <f t="shared" si="8"/>
        <v>355.3</v>
      </c>
      <c r="E133">
        <v>82.3</v>
      </c>
      <c r="G133">
        <f t="shared" si="9"/>
        <v>355.3</v>
      </c>
      <c r="H133" s="2">
        <f t="shared" si="10"/>
        <v>3.3530281690140846</v>
      </c>
      <c r="J133" s="2">
        <f t="shared" si="11"/>
        <v>2.8145229383619474</v>
      </c>
      <c r="K133" s="3">
        <f t="shared" si="12"/>
        <v>2.3403884128016417</v>
      </c>
      <c r="M133">
        <f t="shared" si="13"/>
        <v>1.0825716026812919</v>
      </c>
    </row>
    <row r="134" spans="1:13" x14ac:dyDescent="0.25">
      <c r="A134" s="4" t="s">
        <v>135</v>
      </c>
      <c r="B134" s="4">
        <v>269</v>
      </c>
      <c r="C134">
        <f t="shared" si="7"/>
        <v>1.345</v>
      </c>
      <c r="D134">
        <f t="shared" si="8"/>
        <v>354.5</v>
      </c>
      <c r="E134">
        <v>81.5</v>
      </c>
      <c r="G134">
        <f t="shared" si="9"/>
        <v>354.5</v>
      </c>
      <c r="H134" s="2">
        <f t="shared" si="10"/>
        <v>3.3530281690140846</v>
      </c>
      <c r="J134" s="2">
        <f t="shared" si="11"/>
        <v>2.8208744710860367</v>
      </c>
      <c r="K134" s="3">
        <f t="shared" si="12"/>
        <v>2.3426425698564408</v>
      </c>
      <c r="M134">
        <f t="shared" si="13"/>
        <v>1.0801340645947592</v>
      </c>
    </row>
    <row r="135" spans="1:13" x14ac:dyDescent="0.25">
      <c r="A135" s="4" t="s">
        <v>136</v>
      </c>
      <c r="B135" s="4">
        <v>266</v>
      </c>
      <c r="C135">
        <f t="shared" si="7"/>
        <v>1.33</v>
      </c>
      <c r="D135">
        <f t="shared" si="8"/>
        <v>354.5</v>
      </c>
      <c r="E135">
        <v>81.5</v>
      </c>
      <c r="G135">
        <f t="shared" si="9"/>
        <v>354.5</v>
      </c>
      <c r="H135" s="2">
        <f t="shared" si="10"/>
        <v>3.3156338028169015</v>
      </c>
      <c r="J135" s="2">
        <f t="shared" si="11"/>
        <v>2.8208744710860367</v>
      </c>
      <c r="K135" s="3">
        <f t="shared" si="12"/>
        <v>2.3202124282161609</v>
      </c>
      <c r="M135">
        <f t="shared" si="13"/>
        <v>1.0801340645947592</v>
      </c>
    </row>
    <row r="136" spans="1:13" x14ac:dyDescent="0.25">
      <c r="A136" s="4" t="s">
        <v>137</v>
      </c>
      <c r="B136" s="4">
        <v>265</v>
      </c>
      <c r="C136">
        <f t="shared" si="7"/>
        <v>1.325</v>
      </c>
      <c r="D136">
        <f t="shared" si="8"/>
        <v>354.5</v>
      </c>
      <c r="E136">
        <v>81.5</v>
      </c>
      <c r="G136">
        <f t="shared" si="9"/>
        <v>354.5</v>
      </c>
      <c r="H136" s="2">
        <f t="shared" si="10"/>
        <v>3.3031690140845069</v>
      </c>
      <c r="J136" s="2">
        <f t="shared" si="11"/>
        <v>2.8208744710860367</v>
      </c>
      <c r="K136" s="3">
        <f t="shared" si="12"/>
        <v>2.3126794626252067</v>
      </c>
      <c r="M136">
        <f t="shared" si="13"/>
        <v>1.0801340645947592</v>
      </c>
    </row>
    <row r="137" spans="1:13" x14ac:dyDescent="0.25">
      <c r="A137" s="4" t="s">
        <v>138</v>
      </c>
      <c r="B137" s="4">
        <v>261</v>
      </c>
      <c r="C137">
        <f t="shared" si="7"/>
        <v>1.3049999999999999</v>
      </c>
      <c r="D137">
        <f t="shared" si="8"/>
        <v>354.5</v>
      </c>
      <c r="E137">
        <v>81.5</v>
      </c>
      <c r="G137">
        <f t="shared" si="9"/>
        <v>354.5</v>
      </c>
      <c r="H137" s="2">
        <f t="shared" si="10"/>
        <v>3.2533098591549297</v>
      </c>
      <c r="J137" s="2">
        <f t="shared" si="11"/>
        <v>2.8208744710860367</v>
      </c>
      <c r="K137" s="3">
        <f t="shared" si="12"/>
        <v>2.2822606252981492</v>
      </c>
      <c r="M137">
        <f t="shared" si="13"/>
        <v>1.0801340645947592</v>
      </c>
    </row>
    <row r="138" spans="1:13" x14ac:dyDescent="0.25">
      <c r="A138" s="4" t="s">
        <v>139</v>
      </c>
      <c r="B138" s="4">
        <v>260</v>
      </c>
      <c r="C138">
        <f t="shared" si="7"/>
        <v>1.3</v>
      </c>
      <c r="D138">
        <f t="shared" si="8"/>
        <v>353.8</v>
      </c>
      <c r="E138">
        <v>80.8</v>
      </c>
      <c r="G138">
        <f t="shared" si="9"/>
        <v>353.8</v>
      </c>
      <c r="H138" s="2">
        <f t="shared" si="10"/>
        <v>3.2408450704225351</v>
      </c>
      <c r="J138" s="2">
        <f t="shared" si="11"/>
        <v>2.8264556246466928</v>
      </c>
      <c r="K138" s="3">
        <f t="shared" si="12"/>
        <v>2.2765596369303149</v>
      </c>
      <c r="M138">
        <f t="shared" si="13"/>
        <v>1.0780012187690433</v>
      </c>
    </row>
    <row r="139" spans="1:13" x14ac:dyDescent="0.25">
      <c r="A139" s="4" t="s">
        <v>140</v>
      </c>
      <c r="B139" s="4">
        <v>264</v>
      </c>
      <c r="C139">
        <f t="shared" ref="C139:C202" si="14">B139/200</f>
        <v>1.32</v>
      </c>
      <c r="D139">
        <f t="shared" ref="D139:D202" si="15">273+E139</f>
        <v>353.8</v>
      </c>
      <c r="E139">
        <v>80.8</v>
      </c>
      <c r="G139">
        <f t="shared" ref="G139:G202" si="16">D139</f>
        <v>353.8</v>
      </c>
      <c r="H139" s="2">
        <f t="shared" ref="H139:H202" si="17">1.77*B139/142</f>
        <v>3.2907042253521128</v>
      </c>
      <c r="J139" s="2">
        <f t="shared" ref="J139:J202" si="18">1000/G139</f>
        <v>2.8264556246466928</v>
      </c>
      <c r="K139" s="3">
        <f t="shared" ref="K139:K202" si="19">LN(H139*H139/M139)</f>
        <v>2.3070945811918921</v>
      </c>
      <c r="M139">
        <f t="shared" ref="M139:M202" si="20">G139/328.2</f>
        <v>1.0780012187690433</v>
      </c>
    </row>
    <row r="140" spans="1:13" x14ac:dyDescent="0.25">
      <c r="A140" s="4" t="s">
        <v>141</v>
      </c>
      <c r="B140" s="4">
        <v>261</v>
      </c>
      <c r="C140">
        <f t="shared" si="14"/>
        <v>1.3049999999999999</v>
      </c>
      <c r="D140">
        <f t="shared" si="15"/>
        <v>353.8</v>
      </c>
      <c r="E140">
        <v>80.8</v>
      </c>
      <c r="G140">
        <f t="shared" si="16"/>
        <v>353.8</v>
      </c>
      <c r="H140" s="2">
        <f t="shared" si="17"/>
        <v>3.2533098591549297</v>
      </c>
      <c r="J140" s="2">
        <f t="shared" si="18"/>
        <v>2.8264556246466928</v>
      </c>
      <c r="K140" s="3">
        <f t="shared" si="19"/>
        <v>2.2842371895446467</v>
      </c>
      <c r="M140">
        <f t="shared" si="20"/>
        <v>1.0780012187690433</v>
      </c>
    </row>
    <row r="141" spans="1:13" x14ac:dyDescent="0.25">
      <c r="A141" s="4" t="s">
        <v>142</v>
      </c>
      <c r="B141" s="4">
        <v>258</v>
      </c>
      <c r="C141">
        <f t="shared" si="14"/>
        <v>1.29</v>
      </c>
      <c r="D141">
        <f t="shared" si="15"/>
        <v>353.4</v>
      </c>
      <c r="E141">
        <v>80.400000000000006</v>
      </c>
      <c r="G141">
        <f t="shared" si="16"/>
        <v>353.4</v>
      </c>
      <c r="H141" s="2">
        <f t="shared" si="17"/>
        <v>3.2159154929577465</v>
      </c>
      <c r="J141" s="2">
        <f t="shared" si="18"/>
        <v>2.8296547821165818</v>
      </c>
      <c r="K141" s="3">
        <f t="shared" si="19"/>
        <v>2.2622467665825834</v>
      </c>
      <c r="M141">
        <f t="shared" si="20"/>
        <v>1.076782449725777</v>
      </c>
    </row>
    <row r="142" spans="1:13" x14ac:dyDescent="0.25">
      <c r="A142" s="4" t="s">
        <v>143</v>
      </c>
      <c r="B142" s="4">
        <v>257</v>
      </c>
      <c r="C142">
        <f t="shared" si="14"/>
        <v>1.2849999999999999</v>
      </c>
      <c r="D142">
        <f t="shared" si="15"/>
        <v>353.4</v>
      </c>
      <c r="E142">
        <v>80.400000000000006</v>
      </c>
      <c r="G142">
        <f t="shared" si="16"/>
        <v>353.4</v>
      </c>
      <c r="H142" s="2">
        <f t="shared" si="17"/>
        <v>3.2034507042253519</v>
      </c>
      <c r="J142" s="2">
        <f t="shared" si="18"/>
        <v>2.8296547821165818</v>
      </c>
      <c r="K142" s="3">
        <f t="shared" si="19"/>
        <v>2.254479766529788</v>
      </c>
      <c r="M142">
        <f t="shared" si="20"/>
        <v>1.076782449725777</v>
      </c>
    </row>
    <row r="143" spans="1:13" x14ac:dyDescent="0.25">
      <c r="A143" s="4" t="s">
        <v>144</v>
      </c>
      <c r="B143" s="4">
        <v>256</v>
      </c>
      <c r="C143">
        <f t="shared" si="14"/>
        <v>1.28</v>
      </c>
      <c r="D143">
        <f t="shared" si="15"/>
        <v>353.4</v>
      </c>
      <c r="E143">
        <v>80.400000000000006</v>
      </c>
      <c r="G143">
        <f t="shared" si="16"/>
        <v>353.4</v>
      </c>
      <c r="H143" s="2">
        <f t="shared" si="17"/>
        <v>3.1909859154929578</v>
      </c>
      <c r="J143" s="2">
        <f t="shared" si="18"/>
        <v>2.8296547821165818</v>
      </c>
      <c r="K143" s="3">
        <f t="shared" si="19"/>
        <v>2.2466824856984737</v>
      </c>
      <c r="M143">
        <f t="shared" si="20"/>
        <v>1.076782449725777</v>
      </c>
    </row>
    <row r="144" spans="1:13" x14ac:dyDescent="0.25">
      <c r="A144" s="4" t="s">
        <v>145</v>
      </c>
      <c r="B144" s="4">
        <v>254</v>
      </c>
      <c r="C144">
        <f t="shared" si="14"/>
        <v>1.27</v>
      </c>
      <c r="D144">
        <f t="shared" si="15"/>
        <v>352.8</v>
      </c>
      <c r="E144">
        <v>79.8</v>
      </c>
      <c r="G144">
        <f t="shared" si="16"/>
        <v>352.8</v>
      </c>
      <c r="H144" s="2">
        <f t="shared" si="17"/>
        <v>3.1660563380281688</v>
      </c>
      <c r="J144" s="2">
        <f t="shared" si="18"/>
        <v>2.8344671201814058</v>
      </c>
      <c r="K144" s="3">
        <f t="shared" si="19"/>
        <v>2.2326953665293812</v>
      </c>
      <c r="M144">
        <f t="shared" si="20"/>
        <v>1.0749542961608776</v>
      </c>
    </row>
    <row r="145" spans="1:13" x14ac:dyDescent="0.25">
      <c r="A145" s="4" t="s">
        <v>146</v>
      </c>
      <c r="B145" s="4">
        <v>254</v>
      </c>
      <c r="C145">
        <f t="shared" si="14"/>
        <v>1.27</v>
      </c>
      <c r="D145">
        <f t="shared" si="15"/>
        <v>352.8</v>
      </c>
      <c r="E145">
        <v>79.8</v>
      </c>
      <c r="G145">
        <f t="shared" si="16"/>
        <v>352.8</v>
      </c>
      <c r="H145" s="2">
        <f t="shared" si="17"/>
        <v>3.1660563380281688</v>
      </c>
      <c r="J145" s="2">
        <f t="shared" si="18"/>
        <v>2.8344671201814058</v>
      </c>
      <c r="K145" s="3">
        <f t="shared" si="19"/>
        <v>2.2326953665293812</v>
      </c>
      <c r="M145">
        <f t="shared" si="20"/>
        <v>1.0749542961608776</v>
      </c>
    </row>
    <row r="146" spans="1:13" x14ac:dyDescent="0.25">
      <c r="A146" s="4" t="s">
        <v>147</v>
      </c>
      <c r="B146" s="4">
        <v>251</v>
      </c>
      <c r="C146">
        <f t="shared" si="14"/>
        <v>1.2549999999999999</v>
      </c>
      <c r="D146">
        <f t="shared" si="15"/>
        <v>352.8</v>
      </c>
      <c r="E146">
        <v>79.8</v>
      </c>
      <c r="G146">
        <f t="shared" si="16"/>
        <v>352.8</v>
      </c>
      <c r="H146" s="2">
        <f t="shared" si="17"/>
        <v>3.1286619718309856</v>
      </c>
      <c r="J146" s="2">
        <f t="shared" si="18"/>
        <v>2.8344671201814058</v>
      </c>
      <c r="K146" s="3">
        <f t="shared" si="19"/>
        <v>2.2089327107558758</v>
      </c>
      <c r="M146">
        <f t="shared" si="20"/>
        <v>1.0749542961608776</v>
      </c>
    </row>
    <row r="147" spans="1:13" x14ac:dyDescent="0.25">
      <c r="A147" s="4" t="s">
        <v>148</v>
      </c>
      <c r="B147" s="4">
        <v>252</v>
      </c>
      <c r="C147">
        <f t="shared" si="14"/>
        <v>1.26</v>
      </c>
      <c r="D147">
        <f t="shared" si="15"/>
        <v>352.4</v>
      </c>
      <c r="E147">
        <v>79.400000000000006</v>
      </c>
      <c r="G147">
        <f t="shared" si="16"/>
        <v>352.4</v>
      </c>
      <c r="H147" s="2">
        <f t="shared" si="17"/>
        <v>3.1411267605633806</v>
      </c>
      <c r="J147" s="2">
        <f t="shared" si="18"/>
        <v>2.8376844494892168</v>
      </c>
      <c r="K147" s="3">
        <f t="shared" si="19"/>
        <v>2.2180194375857671</v>
      </c>
      <c r="M147">
        <f t="shared" si="20"/>
        <v>1.0737355271176112</v>
      </c>
    </row>
    <row r="148" spans="1:13" x14ac:dyDescent="0.25">
      <c r="A148" s="4" t="s">
        <v>149</v>
      </c>
      <c r="B148" s="4">
        <v>249</v>
      </c>
      <c r="C148">
        <f t="shared" si="14"/>
        <v>1.2450000000000001</v>
      </c>
      <c r="D148">
        <f t="shared" si="15"/>
        <v>352.4</v>
      </c>
      <c r="E148">
        <v>79.400000000000006</v>
      </c>
      <c r="G148">
        <f t="shared" si="16"/>
        <v>352.4</v>
      </c>
      <c r="H148" s="2">
        <f t="shared" si="17"/>
        <v>3.1037323943661974</v>
      </c>
      <c r="J148" s="2">
        <f t="shared" si="18"/>
        <v>2.8376844494892168</v>
      </c>
      <c r="K148" s="3">
        <f t="shared" si="19"/>
        <v>2.1940670554923356</v>
      </c>
      <c r="M148">
        <f t="shared" si="20"/>
        <v>1.0737355271176112</v>
      </c>
    </row>
    <row r="149" spans="1:13" x14ac:dyDescent="0.25">
      <c r="A149" s="4" t="s">
        <v>150</v>
      </c>
      <c r="B149" s="4">
        <v>248</v>
      </c>
      <c r="C149">
        <f t="shared" si="14"/>
        <v>1.24</v>
      </c>
      <c r="D149">
        <f t="shared" si="15"/>
        <v>352.4</v>
      </c>
      <c r="E149">
        <v>79.400000000000006</v>
      </c>
      <c r="G149">
        <f t="shared" si="16"/>
        <v>352.4</v>
      </c>
      <c r="H149" s="2">
        <f t="shared" si="17"/>
        <v>3.0912676056338029</v>
      </c>
      <c r="J149" s="2">
        <f t="shared" si="18"/>
        <v>2.8376844494892168</v>
      </c>
      <c r="K149" s="3">
        <f t="shared" si="19"/>
        <v>2.1860187548928849</v>
      </c>
      <c r="M149">
        <f t="shared" si="20"/>
        <v>1.0737355271176112</v>
      </c>
    </row>
    <row r="150" spans="1:13" x14ac:dyDescent="0.25">
      <c r="A150" s="4" t="s">
        <v>151</v>
      </c>
      <c r="B150" s="4">
        <v>246</v>
      </c>
      <c r="C150">
        <f t="shared" si="14"/>
        <v>1.23</v>
      </c>
      <c r="D150">
        <f t="shared" si="15"/>
        <v>352.1</v>
      </c>
      <c r="E150">
        <v>79.099999999999994</v>
      </c>
      <c r="G150">
        <f t="shared" si="16"/>
        <v>352.1</v>
      </c>
      <c r="H150" s="2">
        <f t="shared" si="17"/>
        <v>3.0663380281690142</v>
      </c>
      <c r="J150" s="2">
        <f t="shared" si="18"/>
        <v>2.8401022436807724</v>
      </c>
      <c r="K150" s="3">
        <f t="shared" si="19"/>
        <v>2.1706760023286633</v>
      </c>
      <c r="M150">
        <f t="shared" si="20"/>
        <v>1.0728214503351616</v>
      </c>
    </row>
    <row r="151" spans="1:13" x14ac:dyDescent="0.25">
      <c r="A151" s="4" t="s">
        <v>152</v>
      </c>
      <c r="B151" s="4">
        <v>246</v>
      </c>
      <c r="C151">
        <f t="shared" si="14"/>
        <v>1.23</v>
      </c>
      <c r="D151">
        <f t="shared" si="15"/>
        <v>352.1</v>
      </c>
      <c r="E151">
        <v>79.099999999999994</v>
      </c>
      <c r="G151">
        <f t="shared" si="16"/>
        <v>352.1</v>
      </c>
      <c r="H151" s="2">
        <f t="shared" si="17"/>
        <v>3.0663380281690142</v>
      </c>
      <c r="J151" s="2">
        <f t="shared" si="18"/>
        <v>2.8401022436807724</v>
      </c>
      <c r="K151" s="3">
        <f t="shared" si="19"/>
        <v>2.1706760023286633</v>
      </c>
      <c r="M151">
        <f t="shared" si="20"/>
        <v>1.0728214503351616</v>
      </c>
    </row>
    <row r="152" spans="1:13" x14ac:dyDescent="0.25">
      <c r="A152" s="4" t="s">
        <v>153</v>
      </c>
      <c r="B152" s="4">
        <v>244</v>
      </c>
      <c r="C152">
        <f t="shared" si="14"/>
        <v>1.22</v>
      </c>
      <c r="D152">
        <f t="shared" si="15"/>
        <v>352.1</v>
      </c>
      <c r="E152">
        <v>79.099999999999994</v>
      </c>
      <c r="G152">
        <f t="shared" si="16"/>
        <v>352.1</v>
      </c>
      <c r="H152" s="2">
        <f t="shared" si="17"/>
        <v>3.0414084507042252</v>
      </c>
      <c r="J152" s="2">
        <f t="shared" si="18"/>
        <v>2.8401022436807724</v>
      </c>
      <c r="K152" s="3">
        <f t="shared" si="19"/>
        <v>2.1543493810503413</v>
      </c>
      <c r="M152">
        <f t="shared" si="20"/>
        <v>1.0728214503351616</v>
      </c>
    </row>
    <row r="153" spans="1:13" x14ac:dyDescent="0.25">
      <c r="A153" s="4" t="s">
        <v>154</v>
      </c>
      <c r="B153" s="4">
        <v>244</v>
      </c>
      <c r="C153">
        <f t="shared" si="14"/>
        <v>1.22</v>
      </c>
      <c r="D153">
        <f t="shared" si="15"/>
        <v>352.1</v>
      </c>
      <c r="E153">
        <v>79.099999999999994</v>
      </c>
      <c r="G153">
        <f t="shared" si="16"/>
        <v>352.1</v>
      </c>
      <c r="H153" s="2">
        <f t="shared" si="17"/>
        <v>3.0414084507042252</v>
      </c>
      <c r="J153" s="2">
        <f t="shared" si="18"/>
        <v>2.8401022436807724</v>
      </c>
      <c r="K153" s="3">
        <f t="shared" si="19"/>
        <v>2.1543493810503413</v>
      </c>
      <c r="M153">
        <f t="shared" si="20"/>
        <v>1.0728214503351616</v>
      </c>
    </row>
    <row r="154" spans="1:13" x14ac:dyDescent="0.25">
      <c r="A154" s="4" t="s">
        <v>155</v>
      </c>
      <c r="B154" s="4">
        <v>244</v>
      </c>
      <c r="C154">
        <f t="shared" si="14"/>
        <v>1.22</v>
      </c>
      <c r="D154">
        <f t="shared" si="15"/>
        <v>351.6</v>
      </c>
      <c r="E154">
        <v>78.599999999999994</v>
      </c>
      <c r="G154">
        <f t="shared" si="16"/>
        <v>351.6</v>
      </c>
      <c r="H154" s="2">
        <f t="shared" si="17"/>
        <v>3.0414084507042252</v>
      </c>
      <c r="J154" s="2">
        <f t="shared" si="18"/>
        <v>2.8441410693970419</v>
      </c>
      <c r="K154" s="3">
        <f t="shared" si="19"/>
        <v>2.155770441400326</v>
      </c>
      <c r="M154">
        <f t="shared" si="20"/>
        <v>1.0712979890310788</v>
      </c>
    </row>
    <row r="155" spans="1:13" x14ac:dyDescent="0.25">
      <c r="A155" s="4" t="s">
        <v>156</v>
      </c>
      <c r="B155" s="4">
        <v>243</v>
      </c>
      <c r="C155">
        <f t="shared" si="14"/>
        <v>1.2150000000000001</v>
      </c>
      <c r="D155">
        <f t="shared" si="15"/>
        <v>351.6</v>
      </c>
      <c r="E155">
        <v>78.599999999999994</v>
      </c>
      <c r="G155">
        <f t="shared" si="16"/>
        <v>351.6</v>
      </c>
      <c r="H155" s="2">
        <f t="shared" si="17"/>
        <v>3.0289436619718311</v>
      </c>
      <c r="J155" s="2">
        <f t="shared" si="18"/>
        <v>2.8441410693970419</v>
      </c>
      <c r="K155" s="3">
        <f t="shared" si="19"/>
        <v>2.1475568774950196</v>
      </c>
      <c r="M155">
        <f t="shared" si="20"/>
        <v>1.0712979890310788</v>
      </c>
    </row>
    <row r="156" spans="1:13" x14ac:dyDescent="0.25">
      <c r="A156" s="4" t="s">
        <v>157</v>
      </c>
      <c r="B156" s="4">
        <v>240</v>
      </c>
      <c r="C156">
        <f t="shared" si="14"/>
        <v>1.2</v>
      </c>
      <c r="D156">
        <f t="shared" si="15"/>
        <v>351.6</v>
      </c>
      <c r="E156">
        <v>78.599999999999994</v>
      </c>
      <c r="G156">
        <f t="shared" si="16"/>
        <v>351.6</v>
      </c>
      <c r="H156" s="2">
        <f t="shared" si="17"/>
        <v>2.9915492957746479</v>
      </c>
      <c r="J156" s="2">
        <f t="shared" si="18"/>
        <v>2.8441410693970419</v>
      </c>
      <c r="K156" s="3">
        <f t="shared" si="19"/>
        <v>2.122711837497905</v>
      </c>
      <c r="M156">
        <f t="shared" si="20"/>
        <v>1.0712979890310788</v>
      </c>
    </row>
    <row r="157" spans="1:13" x14ac:dyDescent="0.25">
      <c r="A157" s="4" t="s">
        <v>158</v>
      </c>
      <c r="B157" s="4">
        <v>240</v>
      </c>
      <c r="C157">
        <f t="shared" si="14"/>
        <v>1.2</v>
      </c>
      <c r="D157">
        <f t="shared" si="15"/>
        <v>351.1</v>
      </c>
      <c r="E157">
        <v>78.099999999999994</v>
      </c>
      <c r="G157">
        <f t="shared" si="16"/>
        <v>351.1</v>
      </c>
      <c r="H157" s="2">
        <f t="shared" si="17"/>
        <v>2.9915492957746479</v>
      </c>
      <c r="J157" s="2">
        <f t="shared" si="18"/>
        <v>2.8481913984619767</v>
      </c>
      <c r="K157" s="3">
        <f t="shared" si="19"/>
        <v>2.1241349201345403</v>
      </c>
      <c r="M157">
        <f t="shared" si="20"/>
        <v>1.0697745277269959</v>
      </c>
    </row>
    <row r="158" spans="1:13" x14ac:dyDescent="0.25">
      <c r="A158" s="4" t="s">
        <v>159</v>
      </c>
      <c r="B158" s="4">
        <v>239</v>
      </c>
      <c r="C158">
        <f t="shared" si="14"/>
        <v>1.1950000000000001</v>
      </c>
      <c r="D158">
        <f t="shared" si="15"/>
        <v>351.1</v>
      </c>
      <c r="E158">
        <v>78.099999999999994</v>
      </c>
      <c r="G158">
        <f t="shared" si="16"/>
        <v>351.1</v>
      </c>
      <c r="H158" s="2">
        <f t="shared" si="17"/>
        <v>2.9790845070422538</v>
      </c>
      <c r="J158" s="2">
        <f t="shared" si="18"/>
        <v>2.8481913984619767</v>
      </c>
      <c r="K158" s="3">
        <f t="shared" si="19"/>
        <v>2.1157841773135795</v>
      </c>
      <c r="M158">
        <f t="shared" si="20"/>
        <v>1.0697745277269959</v>
      </c>
    </row>
    <row r="159" spans="1:13" x14ac:dyDescent="0.25">
      <c r="A159" s="4" t="s">
        <v>160</v>
      </c>
      <c r="B159" s="4">
        <v>237</v>
      </c>
      <c r="C159">
        <f t="shared" si="14"/>
        <v>1.1850000000000001</v>
      </c>
      <c r="D159">
        <f t="shared" si="15"/>
        <v>351.1</v>
      </c>
      <c r="E159">
        <v>78.099999999999994</v>
      </c>
      <c r="G159">
        <f t="shared" si="16"/>
        <v>351.1</v>
      </c>
      <c r="H159" s="2">
        <f t="shared" si="17"/>
        <v>2.9541549295774647</v>
      </c>
      <c r="J159" s="2">
        <f t="shared" si="18"/>
        <v>2.8481913984619767</v>
      </c>
      <c r="K159" s="3">
        <f t="shared" si="19"/>
        <v>2.0989773557208204</v>
      </c>
      <c r="M159">
        <f t="shared" si="20"/>
        <v>1.0697745277269959</v>
      </c>
    </row>
    <row r="160" spans="1:13" x14ac:dyDescent="0.25">
      <c r="A160" s="4" t="s">
        <v>161</v>
      </c>
      <c r="B160" s="4">
        <v>237</v>
      </c>
      <c r="C160">
        <f t="shared" si="14"/>
        <v>1.1850000000000001</v>
      </c>
      <c r="D160">
        <f t="shared" si="15"/>
        <v>350.8</v>
      </c>
      <c r="E160">
        <v>77.8</v>
      </c>
      <c r="G160">
        <f t="shared" si="16"/>
        <v>350.8</v>
      </c>
      <c r="H160" s="2">
        <f t="shared" si="17"/>
        <v>2.9541549295774647</v>
      </c>
      <c r="J160" s="2">
        <f t="shared" si="18"/>
        <v>2.8506271379703532</v>
      </c>
      <c r="K160" s="3">
        <f t="shared" si="19"/>
        <v>2.099832178397179</v>
      </c>
      <c r="M160">
        <f t="shared" si="20"/>
        <v>1.0688604509445461</v>
      </c>
    </row>
    <row r="161" spans="1:13" x14ac:dyDescent="0.25">
      <c r="A161" s="4" t="s">
        <v>162</v>
      </c>
      <c r="B161" s="4">
        <v>237</v>
      </c>
      <c r="C161">
        <f t="shared" si="14"/>
        <v>1.1850000000000001</v>
      </c>
      <c r="D161">
        <f t="shared" si="15"/>
        <v>350.8</v>
      </c>
      <c r="E161">
        <v>77.8</v>
      </c>
      <c r="G161">
        <f t="shared" si="16"/>
        <v>350.8</v>
      </c>
      <c r="H161" s="2">
        <f t="shared" si="17"/>
        <v>2.9541549295774647</v>
      </c>
      <c r="J161" s="2">
        <f t="shared" si="18"/>
        <v>2.8506271379703532</v>
      </c>
      <c r="K161" s="3">
        <f t="shared" si="19"/>
        <v>2.099832178397179</v>
      </c>
      <c r="M161">
        <f t="shared" si="20"/>
        <v>1.0688604509445461</v>
      </c>
    </row>
    <row r="162" spans="1:13" x14ac:dyDescent="0.25">
      <c r="A162" s="4" t="s">
        <v>163</v>
      </c>
      <c r="B162" s="4">
        <v>236</v>
      </c>
      <c r="C162">
        <f t="shared" si="14"/>
        <v>1.18</v>
      </c>
      <c r="D162">
        <f t="shared" si="15"/>
        <v>350.8</v>
      </c>
      <c r="E162">
        <v>77.8</v>
      </c>
      <c r="G162">
        <f t="shared" si="16"/>
        <v>350.8</v>
      </c>
      <c r="H162" s="2">
        <f t="shared" si="17"/>
        <v>2.9416901408450706</v>
      </c>
      <c r="J162" s="2">
        <f t="shared" si="18"/>
        <v>2.8506271379703532</v>
      </c>
      <c r="K162" s="3">
        <f t="shared" si="19"/>
        <v>2.0913755061781369</v>
      </c>
      <c r="M162">
        <f t="shared" si="20"/>
        <v>1.0688604509445461</v>
      </c>
    </row>
    <row r="163" spans="1:13" x14ac:dyDescent="0.25">
      <c r="A163" s="4" t="s">
        <v>164</v>
      </c>
      <c r="B163" s="4">
        <v>235</v>
      </c>
      <c r="C163">
        <f t="shared" si="14"/>
        <v>1.175</v>
      </c>
      <c r="D163">
        <f t="shared" si="15"/>
        <v>350.4</v>
      </c>
      <c r="E163">
        <v>77.400000000000006</v>
      </c>
      <c r="G163">
        <f t="shared" si="16"/>
        <v>350.4</v>
      </c>
      <c r="H163" s="2">
        <f t="shared" si="17"/>
        <v>2.9292253521126761</v>
      </c>
      <c r="J163" s="2">
        <f t="shared" si="18"/>
        <v>2.8538812785388128</v>
      </c>
      <c r="K163" s="3">
        <f t="shared" si="19"/>
        <v>2.0840238258510264</v>
      </c>
      <c r="M163">
        <f t="shared" si="20"/>
        <v>1.0676416819012797</v>
      </c>
    </row>
    <row r="164" spans="1:13" x14ac:dyDescent="0.25">
      <c r="A164" s="4" t="s">
        <v>165</v>
      </c>
      <c r="B164" s="4">
        <v>233</v>
      </c>
      <c r="C164">
        <f t="shared" si="14"/>
        <v>1.165</v>
      </c>
      <c r="D164">
        <f t="shared" si="15"/>
        <v>350.4</v>
      </c>
      <c r="E164">
        <v>77.400000000000006</v>
      </c>
      <c r="G164">
        <f t="shared" si="16"/>
        <v>350.4</v>
      </c>
      <c r="H164" s="2">
        <f t="shared" si="17"/>
        <v>2.9042957746478875</v>
      </c>
      <c r="J164" s="2">
        <f t="shared" si="18"/>
        <v>2.8538812785388128</v>
      </c>
      <c r="K164" s="3">
        <f t="shared" si="19"/>
        <v>2.0669297046941093</v>
      </c>
      <c r="M164">
        <f t="shared" si="20"/>
        <v>1.0676416819012797</v>
      </c>
    </row>
    <row r="165" spans="1:13" x14ac:dyDescent="0.25">
      <c r="A165" s="4" t="s">
        <v>166</v>
      </c>
      <c r="B165" s="4">
        <v>232</v>
      </c>
      <c r="C165">
        <f t="shared" si="14"/>
        <v>1.1599999999999999</v>
      </c>
      <c r="D165">
        <f t="shared" si="15"/>
        <v>350.4</v>
      </c>
      <c r="E165">
        <v>77.400000000000006</v>
      </c>
      <c r="G165">
        <f t="shared" si="16"/>
        <v>350.4</v>
      </c>
      <c r="H165" s="2">
        <f t="shared" si="17"/>
        <v>2.8918309859154929</v>
      </c>
      <c r="J165" s="2">
        <f t="shared" si="18"/>
        <v>2.8538812785388128</v>
      </c>
      <c r="K165" s="3">
        <f t="shared" si="19"/>
        <v>2.0583275408953283</v>
      </c>
      <c r="M165">
        <f t="shared" si="20"/>
        <v>1.0676416819012797</v>
      </c>
    </row>
    <row r="166" spans="1:13" x14ac:dyDescent="0.25">
      <c r="A166" s="4" t="s">
        <v>167</v>
      </c>
      <c r="B166" s="4">
        <v>230</v>
      </c>
      <c r="C166">
        <f t="shared" si="14"/>
        <v>1.1499999999999999</v>
      </c>
      <c r="D166">
        <f t="shared" si="15"/>
        <v>350</v>
      </c>
      <c r="E166">
        <v>77</v>
      </c>
      <c r="G166">
        <f t="shared" si="16"/>
        <v>350</v>
      </c>
      <c r="H166" s="2">
        <f t="shared" si="17"/>
        <v>2.8669014084507043</v>
      </c>
      <c r="J166" s="2">
        <f t="shared" si="18"/>
        <v>2.8571428571428572</v>
      </c>
      <c r="K166" s="3">
        <f t="shared" si="19"/>
        <v>2.042153619987876</v>
      </c>
      <c r="M166">
        <f t="shared" si="20"/>
        <v>1.0664229128580134</v>
      </c>
    </row>
    <row r="167" spans="1:13" x14ac:dyDescent="0.25">
      <c r="A167" s="4" t="s">
        <v>168</v>
      </c>
      <c r="B167" s="4">
        <v>230</v>
      </c>
      <c r="C167">
        <f t="shared" si="14"/>
        <v>1.1499999999999999</v>
      </c>
      <c r="D167">
        <f t="shared" si="15"/>
        <v>350</v>
      </c>
      <c r="E167">
        <v>77</v>
      </c>
      <c r="G167">
        <f t="shared" si="16"/>
        <v>350</v>
      </c>
      <c r="H167" s="2">
        <f t="shared" si="17"/>
        <v>2.8669014084507043</v>
      </c>
      <c r="J167" s="2">
        <f t="shared" si="18"/>
        <v>2.8571428571428572</v>
      </c>
      <c r="K167" s="3">
        <f t="shared" si="19"/>
        <v>2.042153619987876</v>
      </c>
      <c r="M167">
        <f t="shared" si="20"/>
        <v>1.0664229128580134</v>
      </c>
    </row>
    <row r="168" spans="1:13" x14ac:dyDescent="0.25">
      <c r="A168" s="4" t="s">
        <v>169</v>
      </c>
      <c r="B168" s="4">
        <v>229</v>
      </c>
      <c r="C168">
        <f t="shared" si="14"/>
        <v>1.145</v>
      </c>
      <c r="D168">
        <f t="shared" si="15"/>
        <v>350</v>
      </c>
      <c r="E168">
        <v>77</v>
      </c>
      <c r="G168">
        <f t="shared" si="16"/>
        <v>350</v>
      </c>
      <c r="H168" s="2">
        <f t="shared" si="17"/>
        <v>2.8544366197183098</v>
      </c>
      <c r="J168" s="2">
        <f t="shared" si="18"/>
        <v>2.8571428571428572</v>
      </c>
      <c r="K168" s="3">
        <f t="shared" si="19"/>
        <v>2.0334390092499648</v>
      </c>
      <c r="M168">
        <f t="shared" si="20"/>
        <v>1.0664229128580134</v>
      </c>
    </row>
    <row r="169" spans="1:13" x14ac:dyDescent="0.25">
      <c r="A169" s="4" t="s">
        <v>170</v>
      </c>
      <c r="B169" s="4">
        <v>228</v>
      </c>
      <c r="C169">
        <f t="shared" si="14"/>
        <v>1.1399999999999999</v>
      </c>
      <c r="D169">
        <f t="shared" si="15"/>
        <v>350</v>
      </c>
      <c r="E169">
        <v>77</v>
      </c>
      <c r="G169">
        <f t="shared" si="16"/>
        <v>350</v>
      </c>
      <c r="H169" s="2">
        <f t="shared" si="17"/>
        <v>2.8419718309859157</v>
      </c>
      <c r="J169" s="2">
        <f t="shared" si="18"/>
        <v>2.8571428571428572</v>
      </c>
      <c r="K169" s="3">
        <f t="shared" si="19"/>
        <v>2.024686260050367</v>
      </c>
      <c r="M169">
        <f t="shared" si="20"/>
        <v>1.0664229128580134</v>
      </c>
    </row>
    <row r="170" spans="1:13" x14ac:dyDescent="0.25">
      <c r="A170" s="4" t="s">
        <v>171</v>
      </c>
      <c r="B170" s="4">
        <v>227</v>
      </c>
      <c r="C170">
        <f t="shared" si="14"/>
        <v>1.135</v>
      </c>
      <c r="D170">
        <f t="shared" si="15"/>
        <v>349.6</v>
      </c>
      <c r="E170">
        <v>76.599999999999994</v>
      </c>
      <c r="G170">
        <f t="shared" si="16"/>
        <v>349.6</v>
      </c>
      <c r="H170" s="2">
        <f t="shared" si="17"/>
        <v>2.8295070422535211</v>
      </c>
      <c r="J170" s="2">
        <f t="shared" si="18"/>
        <v>2.860411899313501</v>
      </c>
      <c r="K170" s="3">
        <f t="shared" si="19"/>
        <v>2.0170385478063695</v>
      </c>
      <c r="M170">
        <f t="shared" si="20"/>
        <v>1.0652041438147473</v>
      </c>
    </row>
    <row r="171" spans="1:13" x14ac:dyDescent="0.25">
      <c r="A171" s="4" t="s">
        <v>172</v>
      </c>
      <c r="B171" s="4">
        <v>226</v>
      </c>
      <c r="C171">
        <f t="shared" si="14"/>
        <v>1.1299999999999999</v>
      </c>
      <c r="D171">
        <f t="shared" si="15"/>
        <v>349.6</v>
      </c>
      <c r="E171">
        <v>76.599999999999994</v>
      </c>
      <c r="G171">
        <f t="shared" si="16"/>
        <v>349.6</v>
      </c>
      <c r="H171" s="2">
        <f t="shared" si="17"/>
        <v>2.8170422535211266</v>
      </c>
      <c r="J171" s="2">
        <f t="shared" si="18"/>
        <v>2.860411899313501</v>
      </c>
      <c r="K171" s="3">
        <f t="shared" si="19"/>
        <v>2.0082085113881356</v>
      </c>
      <c r="M171">
        <f t="shared" si="20"/>
        <v>1.0652041438147473</v>
      </c>
    </row>
    <row r="172" spans="1:13" x14ac:dyDescent="0.25">
      <c r="A172" s="4" t="s">
        <v>173</v>
      </c>
      <c r="B172" s="4">
        <v>225</v>
      </c>
      <c r="C172">
        <f t="shared" si="14"/>
        <v>1.125</v>
      </c>
      <c r="D172">
        <f t="shared" si="15"/>
        <v>349.6</v>
      </c>
      <c r="E172">
        <v>76.599999999999994</v>
      </c>
      <c r="G172">
        <f t="shared" si="16"/>
        <v>349.6</v>
      </c>
      <c r="H172" s="2">
        <f t="shared" si="17"/>
        <v>2.8045774647887325</v>
      </c>
      <c r="J172" s="2">
        <f t="shared" si="18"/>
        <v>2.860411899313501</v>
      </c>
      <c r="K172" s="3">
        <f t="shared" si="19"/>
        <v>1.9993393172524043</v>
      </c>
      <c r="M172">
        <f t="shared" si="20"/>
        <v>1.0652041438147473</v>
      </c>
    </row>
    <row r="173" spans="1:13" x14ac:dyDescent="0.25">
      <c r="A173" s="4" t="s">
        <v>174</v>
      </c>
      <c r="B173" s="4">
        <v>225</v>
      </c>
      <c r="C173">
        <f t="shared" si="14"/>
        <v>1.125</v>
      </c>
      <c r="D173">
        <f t="shared" si="15"/>
        <v>349.2</v>
      </c>
      <c r="E173">
        <v>76.2</v>
      </c>
      <c r="G173">
        <f t="shared" si="16"/>
        <v>349.2</v>
      </c>
      <c r="H173" s="2">
        <f t="shared" si="17"/>
        <v>2.8045774647887325</v>
      </c>
      <c r="J173" s="2">
        <f t="shared" si="18"/>
        <v>2.86368843069874</v>
      </c>
      <c r="K173" s="3">
        <f t="shared" si="19"/>
        <v>2.0004841370683377</v>
      </c>
      <c r="M173">
        <f t="shared" si="20"/>
        <v>1.0639853747714807</v>
      </c>
    </row>
    <row r="174" spans="1:13" x14ac:dyDescent="0.25">
      <c r="A174" s="4" t="s">
        <v>175</v>
      </c>
      <c r="B174" s="4">
        <v>224</v>
      </c>
      <c r="C174">
        <f t="shared" si="14"/>
        <v>1.1200000000000001</v>
      </c>
      <c r="D174">
        <f t="shared" si="15"/>
        <v>349.2</v>
      </c>
      <c r="E174">
        <v>76.2</v>
      </c>
      <c r="G174">
        <f t="shared" si="16"/>
        <v>349.2</v>
      </c>
      <c r="H174" s="2">
        <f t="shared" si="17"/>
        <v>2.7921126760563379</v>
      </c>
      <c r="J174" s="2">
        <f t="shared" si="18"/>
        <v>2.86368843069874</v>
      </c>
      <c r="K174" s="3">
        <f t="shared" si="19"/>
        <v>1.9915754363695772</v>
      </c>
      <c r="M174">
        <f t="shared" si="20"/>
        <v>1.0639853747714807</v>
      </c>
    </row>
    <row r="175" spans="1:13" x14ac:dyDescent="0.25">
      <c r="A175" s="4" t="s">
        <v>176</v>
      </c>
      <c r="B175" s="4">
        <v>222</v>
      </c>
      <c r="C175">
        <f t="shared" si="14"/>
        <v>1.1100000000000001</v>
      </c>
      <c r="D175">
        <f t="shared" si="15"/>
        <v>349.2</v>
      </c>
      <c r="E175">
        <v>76.2</v>
      </c>
      <c r="G175">
        <f t="shared" si="16"/>
        <v>349.2</v>
      </c>
      <c r="H175" s="2">
        <f t="shared" si="17"/>
        <v>2.7671830985915493</v>
      </c>
      <c r="J175" s="2">
        <f t="shared" si="18"/>
        <v>2.86368843069874</v>
      </c>
      <c r="K175" s="3">
        <f t="shared" si="19"/>
        <v>1.9736380964040565</v>
      </c>
      <c r="M175">
        <f t="shared" si="20"/>
        <v>1.0639853747714807</v>
      </c>
    </row>
    <row r="176" spans="1:13" x14ac:dyDescent="0.25">
      <c r="A176" s="4" t="s">
        <v>177</v>
      </c>
      <c r="B176" s="4">
        <v>220</v>
      </c>
      <c r="C176">
        <f t="shared" si="14"/>
        <v>1.1000000000000001</v>
      </c>
      <c r="D176">
        <f t="shared" si="15"/>
        <v>348.7</v>
      </c>
      <c r="E176">
        <v>75.7</v>
      </c>
      <c r="G176">
        <f t="shared" si="16"/>
        <v>348.7</v>
      </c>
      <c r="H176" s="2">
        <f t="shared" si="17"/>
        <v>2.7422535211267602</v>
      </c>
      <c r="J176" s="2">
        <f t="shared" si="18"/>
        <v>2.8677946659019216</v>
      </c>
      <c r="K176" s="3">
        <f t="shared" si="19"/>
        <v>1.956971295648062</v>
      </c>
      <c r="M176">
        <f t="shared" si="20"/>
        <v>1.0624619134673978</v>
      </c>
    </row>
    <row r="177" spans="1:13" x14ac:dyDescent="0.25">
      <c r="A177" s="4" t="s">
        <v>178</v>
      </c>
      <c r="B177" s="4">
        <v>220</v>
      </c>
      <c r="C177">
        <f t="shared" si="14"/>
        <v>1.1000000000000001</v>
      </c>
      <c r="D177">
        <f t="shared" si="15"/>
        <v>348.7</v>
      </c>
      <c r="E177">
        <v>75.7</v>
      </c>
      <c r="G177">
        <f t="shared" si="16"/>
        <v>348.7</v>
      </c>
      <c r="H177" s="2">
        <f t="shared" si="17"/>
        <v>2.7422535211267602</v>
      </c>
      <c r="J177" s="2">
        <f t="shared" si="18"/>
        <v>2.8677946659019216</v>
      </c>
      <c r="K177" s="3">
        <f t="shared" si="19"/>
        <v>1.956971295648062</v>
      </c>
      <c r="M177">
        <f t="shared" si="20"/>
        <v>1.0624619134673978</v>
      </c>
    </row>
    <row r="178" spans="1:13" x14ac:dyDescent="0.25">
      <c r="A178" s="4" t="s">
        <v>179</v>
      </c>
      <c r="B178" s="4">
        <v>221</v>
      </c>
      <c r="C178">
        <f t="shared" si="14"/>
        <v>1.105</v>
      </c>
      <c r="D178">
        <f t="shared" si="15"/>
        <v>348.7</v>
      </c>
      <c r="E178">
        <v>75.7</v>
      </c>
      <c r="G178">
        <f t="shared" si="16"/>
        <v>348.7</v>
      </c>
      <c r="H178" s="2">
        <f t="shared" si="17"/>
        <v>2.7547183098591552</v>
      </c>
      <c r="J178" s="2">
        <f t="shared" si="18"/>
        <v>2.8677946659019216</v>
      </c>
      <c r="K178" s="3">
        <f t="shared" si="19"/>
        <v>1.966041605978845</v>
      </c>
      <c r="M178">
        <f t="shared" si="20"/>
        <v>1.0624619134673978</v>
      </c>
    </row>
    <row r="179" spans="1:13" x14ac:dyDescent="0.25">
      <c r="A179" s="4" t="s">
        <v>180</v>
      </c>
      <c r="B179" s="4">
        <v>220</v>
      </c>
      <c r="C179">
        <f t="shared" si="14"/>
        <v>1.1000000000000001</v>
      </c>
      <c r="D179">
        <f t="shared" si="15"/>
        <v>347.6</v>
      </c>
      <c r="E179">
        <v>74.599999999999994</v>
      </c>
      <c r="G179">
        <f t="shared" si="16"/>
        <v>347.6</v>
      </c>
      <c r="H179" s="2">
        <f t="shared" si="17"/>
        <v>2.7422535211267602</v>
      </c>
      <c r="J179" s="2">
        <f t="shared" si="18"/>
        <v>2.8768699654775602</v>
      </c>
      <c r="K179" s="3">
        <f t="shared" si="19"/>
        <v>1.9601308559384303</v>
      </c>
      <c r="M179">
        <f t="shared" si="20"/>
        <v>1.0591102985984158</v>
      </c>
    </row>
    <row r="180" spans="1:13" x14ac:dyDescent="0.25">
      <c r="A180" s="4" t="s">
        <v>181</v>
      </c>
      <c r="B180" s="4">
        <v>219</v>
      </c>
      <c r="C180">
        <f t="shared" si="14"/>
        <v>1.095</v>
      </c>
      <c r="D180">
        <f t="shared" si="15"/>
        <v>347.6</v>
      </c>
      <c r="E180">
        <v>74.599999999999994</v>
      </c>
      <c r="G180">
        <f t="shared" si="16"/>
        <v>347.6</v>
      </c>
      <c r="H180" s="2">
        <f t="shared" si="17"/>
        <v>2.7297887323943661</v>
      </c>
      <c r="J180" s="2">
        <f t="shared" si="18"/>
        <v>2.8768699654775602</v>
      </c>
      <c r="K180" s="3">
        <f t="shared" si="19"/>
        <v>1.9510192228667091</v>
      </c>
      <c r="M180">
        <f t="shared" si="20"/>
        <v>1.0591102985984158</v>
      </c>
    </row>
    <row r="181" spans="1:13" x14ac:dyDescent="0.25">
      <c r="A181" s="4" t="s">
        <v>182</v>
      </c>
      <c r="B181" s="4">
        <v>219</v>
      </c>
      <c r="C181">
        <f t="shared" si="14"/>
        <v>1.095</v>
      </c>
      <c r="D181">
        <f t="shared" si="15"/>
        <v>347.6</v>
      </c>
      <c r="E181">
        <v>74.599999999999994</v>
      </c>
      <c r="G181">
        <f t="shared" si="16"/>
        <v>347.6</v>
      </c>
      <c r="H181" s="2">
        <f t="shared" si="17"/>
        <v>2.7297887323943661</v>
      </c>
      <c r="J181" s="2">
        <f t="shared" si="18"/>
        <v>2.8768699654775602</v>
      </c>
      <c r="K181" s="3">
        <f t="shared" si="19"/>
        <v>1.9510192228667091</v>
      </c>
      <c r="M181">
        <f t="shared" si="20"/>
        <v>1.0591102985984158</v>
      </c>
    </row>
    <row r="182" spans="1:13" x14ac:dyDescent="0.25">
      <c r="A182" s="4" t="s">
        <v>183</v>
      </c>
      <c r="B182" s="4">
        <v>219</v>
      </c>
      <c r="C182">
        <f t="shared" si="14"/>
        <v>1.095</v>
      </c>
      <c r="D182">
        <f t="shared" si="15"/>
        <v>347.1</v>
      </c>
      <c r="E182">
        <v>74.099999999999994</v>
      </c>
      <c r="G182">
        <f t="shared" si="16"/>
        <v>347.1</v>
      </c>
      <c r="H182" s="2">
        <f t="shared" si="17"/>
        <v>2.7297887323943661</v>
      </c>
      <c r="J182" s="2">
        <f t="shared" si="18"/>
        <v>2.881014116969173</v>
      </c>
      <c r="K182" s="3">
        <f t="shared" si="19"/>
        <v>1.9524586933902055</v>
      </c>
      <c r="M182">
        <f t="shared" si="20"/>
        <v>1.0575868372943329</v>
      </c>
    </row>
    <row r="183" spans="1:13" x14ac:dyDescent="0.25">
      <c r="A183" s="4" t="s">
        <v>184</v>
      </c>
      <c r="B183" s="4">
        <v>218</v>
      </c>
      <c r="C183">
        <f t="shared" si="14"/>
        <v>1.0900000000000001</v>
      </c>
      <c r="D183">
        <f t="shared" si="15"/>
        <v>347.1</v>
      </c>
      <c r="E183">
        <v>74.099999999999994</v>
      </c>
      <c r="G183">
        <f t="shared" si="16"/>
        <v>347.1</v>
      </c>
      <c r="H183" s="2">
        <f t="shared" si="17"/>
        <v>2.7173239436619721</v>
      </c>
      <c r="J183" s="2">
        <f t="shared" si="18"/>
        <v>2.881014116969173</v>
      </c>
      <c r="K183" s="3">
        <f t="shared" si="19"/>
        <v>1.943305359335382</v>
      </c>
      <c r="M183">
        <f t="shared" si="20"/>
        <v>1.0575868372943329</v>
      </c>
    </row>
    <row r="184" spans="1:13" x14ac:dyDescent="0.25">
      <c r="A184" s="4" t="s">
        <v>185</v>
      </c>
      <c r="B184" s="4">
        <v>217</v>
      </c>
      <c r="C184">
        <f t="shared" si="14"/>
        <v>1.085</v>
      </c>
      <c r="D184">
        <f t="shared" si="15"/>
        <v>347.1</v>
      </c>
      <c r="E184">
        <v>74.099999999999994</v>
      </c>
      <c r="G184">
        <f t="shared" si="16"/>
        <v>347.1</v>
      </c>
      <c r="H184" s="2">
        <f t="shared" si="17"/>
        <v>2.7048591549295775</v>
      </c>
      <c r="J184" s="2">
        <f t="shared" si="18"/>
        <v>2.881014116969173</v>
      </c>
      <c r="K184" s="3">
        <f t="shared" si="19"/>
        <v>1.934109940838123</v>
      </c>
      <c r="M184">
        <f t="shared" si="20"/>
        <v>1.0575868372943329</v>
      </c>
    </row>
    <row r="185" spans="1:13" x14ac:dyDescent="0.25">
      <c r="A185" s="4" t="s">
        <v>186</v>
      </c>
      <c r="B185" s="4">
        <v>216</v>
      </c>
      <c r="C185">
        <f t="shared" si="14"/>
        <v>1.08</v>
      </c>
      <c r="D185">
        <f t="shared" si="15"/>
        <v>347.1</v>
      </c>
      <c r="E185">
        <v>74.099999999999994</v>
      </c>
      <c r="G185">
        <f t="shared" si="16"/>
        <v>347.1</v>
      </c>
      <c r="H185" s="2">
        <f t="shared" si="17"/>
        <v>2.692394366197183</v>
      </c>
      <c r="J185" s="2">
        <f t="shared" si="18"/>
        <v>2.881014116969173</v>
      </c>
      <c r="K185" s="3">
        <f t="shared" si="19"/>
        <v>1.9248720491255338</v>
      </c>
      <c r="M185">
        <f t="shared" si="20"/>
        <v>1.0575868372943329</v>
      </c>
    </row>
    <row r="186" spans="1:13" x14ac:dyDescent="0.25">
      <c r="A186" s="4" t="s">
        <v>187</v>
      </c>
      <c r="B186" s="4">
        <v>214</v>
      </c>
      <c r="C186">
        <f t="shared" si="14"/>
        <v>1.07</v>
      </c>
      <c r="D186">
        <f t="shared" si="15"/>
        <v>346.6</v>
      </c>
      <c r="E186">
        <v>73.599999999999994</v>
      </c>
      <c r="G186">
        <f t="shared" si="16"/>
        <v>346.6</v>
      </c>
      <c r="H186" s="2">
        <f t="shared" si="17"/>
        <v>2.6674647887323948</v>
      </c>
      <c r="J186" s="2">
        <f t="shared" si="18"/>
        <v>2.8851702250432774</v>
      </c>
      <c r="K186" s="3">
        <f t="shared" si="19"/>
        <v>1.9077088093871422</v>
      </c>
      <c r="M186">
        <f t="shared" si="20"/>
        <v>1.05606337599025</v>
      </c>
    </row>
    <row r="187" spans="1:13" x14ac:dyDescent="0.25">
      <c r="A187" s="4" t="s">
        <v>188</v>
      </c>
      <c r="B187" s="4">
        <v>213</v>
      </c>
      <c r="C187">
        <f t="shared" si="14"/>
        <v>1.0649999999999999</v>
      </c>
      <c r="D187">
        <f t="shared" si="15"/>
        <v>346.6</v>
      </c>
      <c r="E187">
        <v>73.599999999999994</v>
      </c>
      <c r="G187">
        <f t="shared" si="16"/>
        <v>346.6</v>
      </c>
      <c r="H187" s="2">
        <f t="shared" si="17"/>
        <v>2.6549999999999998</v>
      </c>
      <c r="J187" s="2">
        <f t="shared" si="18"/>
        <v>2.8851702250432774</v>
      </c>
      <c r="K187" s="3">
        <f t="shared" si="19"/>
        <v>1.8983411107622887</v>
      </c>
      <c r="M187">
        <f t="shared" si="20"/>
        <v>1.05606337599025</v>
      </c>
    </row>
    <row r="188" spans="1:13" x14ac:dyDescent="0.25">
      <c r="A188" s="4" t="s">
        <v>189</v>
      </c>
      <c r="B188" s="4">
        <v>214</v>
      </c>
      <c r="C188">
        <f t="shared" si="14"/>
        <v>1.07</v>
      </c>
      <c r="D188">
        <f t="shared" si="15"/>
        <v>346.6</v>
      </c>
      <c r="E188">
        <v>73.599999999999994</v>
      </c>
      <c r="G188">
        <f t="shared" si="16"/>
        <v>346.6</v>
      </c>
      <c r="H188" s="2">
        <f t="shared" si="17"/>
        <v>2.6674647887323948</v>
      </c>
      <c r="J188" s="2">
        <f t="shared" si="18"/>
        <v>2.8851702250432774</v>
      </c>
      <c r="K188" s="3">
        <f t="shared" si="19"/>
        <v>1.9077088093871422</v>
      </c>
      <c r="M188">
        <f t="shared" si="20"/>
        <v>1.05606337599025</v>
      </c>
    </row>
    <row r="189" spans="1:13" x14ac:dyDescent="0.25">
      <c r="A189" s="4" t="s">
        <v>190</v>
      </c>
      <c r="B189" s="4">
        <v>212</v>
      </c>
      <c r="C189">
        <f t="shared" si="14"/>
        <v>1.06</v>
      </c>
      <c r="D189">
        <f t="shared" si="15"/>
        <v>346.4</v>
      </c>
      <c r="E189">
        <v>73.400000000000006</v>
      </c>
      <c r="G189">
        <f t="shared" si="16"/>
        <v>346.4</v>
      </c>
      <c r="H189" s="2">
        <f t="shared" si="17"/>
        <v>2.6425352112676057</v>
      </c>
      <c r="J189" s="2">
        <f t="shared" si="18"/>
        <v>2.8868360277136262</v>
      </c>
      <c r="K189" s="3">
        <f t="shared" si="19"/>
        <v>1.8895065292806894</v>
      </c>
      <c r="M189">
        <f t="shared" si="20"/>
        <v>1.0554539914686167</v>
      </c>
    </row>
    <row r="190" spans="1:13" x14ac:dyDescent="0.25">
      <c r="A190" s="4" t="s">
        <v>191</v>
      </c>
      <c r="B190" s="4">
        <v>211</v>
      </c>
      <c r="C190">
        <f t="shared" si="14"/>
        <v>1.0549999999999999</v>
      </c>
      <c r="D190">
        <f t="shared" si="15"/>
        <v>346.4</v>
      </c>
      <c r="E190">
        <v>73.400000000000006</v>
      </c>
      <c r="G190">
        <f t="shared" si="16"/>
        <v>346.4</v>
      </c>
      <c r="H190" s="2">
        <f t="shared" si="17"/>
        <v>2.6300704225352116</v>
      </c>
      <c r="J190" s="2">
        <f t="shared" si="18"/>
        <v>2.8868360277136262</v>
      </c>
      <c r="K190" s="3">
        <f t="shared" si="19"/>
        <v>1.8800502468887978</v>
      </c>
      <c r="M190">
        <f t="shared" si="20"/>
        <v>1.0554539914686167</v>
      </c>
    </row>
    <row r="191" spans="1:13" x14ac:dyDescent="0.25">
      <c r="A191" s="4" t="s">
        <v>192</v>
      </c>
      <c r="B191" s="4">
        <v>211</v>
      </c>
      <c r="C191">
        <f t="shared" si="14"/>
        <v>1.0549999999999999</v>
      </c>
      <c r="D191">
        <f t="shared" si="15"/>
        <v>346.4</v>
      </c>
      <c r="E191">
        <v>73.400000000000006</v>
      </c>
      <c r="G191">
        <f t="shared" si="16"/>
        <v>346.4</v>
      </c>
      <c r="H191" s="2">
        <f t="shared" si="17"/>
        <v>2.6300704225352116</v>
      </c>
      <c r="J191" s="2">
        <f t="shared" si="18"/>
        <v>2.8868360277136262</v>
      </c>
      <c r="K191" s="3">
        <f t="shared" si="19"/>
        <v>1.8800502468887978</v>
      </c>
      <c r="M191">
        <f t="shared" si="20"/>
        <v>1.0554539914686167</v>
      </c>
    </row>
    <row r="192" spans="1:13" x14ac:dyDescent="0.25">
      <c r="A192" s="4" t="s">
        <v>193</v>
      </c>
      <c r="B192" s="4">
        <v>211</v>
      </c>
      <c r="C192">
        <f t="shared" si="14"/>
        <v>1.0549999999999999</v>
      </c>
      <c r="D192">
        <f t="shared" si="15"/>
        <v>345.5</v>
      </c>
      <c r="E192">
        <v>72.5</v>
      </c>
      <c r="G192">
        <f t="shared" si="16"/>
        <v>345.5</v>
      </c>
      <c r="H192" s="2">
        <f t="shared" si="17"/>
        <v>2.6300704225352116</v>
      </c>
      <c r="J192" s="2">
        <f t="shared" si="18"/>
        <v>2.8943560057887119</v>
      </c>
      <c r="K192" s="3">
        <f t="shared" si="19"/>
        <v>1.8826517803693532</v>
      </c>
      <c r="M192">
        <f t="shared" si="20"/>
        <v>1.0527117611212675</v>
      </c>
    </row>
    <row r="193" spans="1:13" x14ac:dyDescent="0.25">
      <c r="A193" s="4" t="s">
        <v>194</v>
      </c>
      <c r="B193" s="4">
        <v>210</v>
      </c>
      <c r="C193">
        <f t="shared" si="14"/>
        <v>1.05</v>
      </c>
      <c r="D193">
        <f t="shared" si="15"/>
        <v>345.5</v>
      </c>
      <c r="E193">
        <v>72.5</v>
      </c>
      <c r="G193">
        <f t="shared" si="16"/>
        <v>345.5</v>
      </c>
      <c r="H193" s="2">
        <f t="shared" si="17"/>
        <v>2.6176056338028166</v>
      </c>
      <c r="J193" s="2">
        <f t="shared" si="18"/>
        <v>2.8943560057887119</v>
      </c>
      <c r="K193" s="3">
        <f t="shared" si="19"/>
        <v>1.8731505748521573</v>
      </c>
      <c r="M193">
        <f t="shared" si="20"/>
        <v>1.0527117611212675</v>
      </c>
    </row>
    <row r="194" spans="1:13" x14ac:dyDescent="0.25">
      <c r="A194" s="4" t="s">
        <v>195</v>
      </c>
      <c r="B194" s="4">
        <v>208</v>
      </c>
      <c r="C194">
        <f t="shared" si="14"/>
        <v>1.04</v>
      </c>
      <c r="D194">
        <f t="shared" si="15"/>
        <v>345.5</v>
      </c>
      <c r="E194">
        <v>72.5</v>
      </c>
      <c r="G194">
        <f t="shared" si="16"/>
        <v>345.5</v>
      </c>
      <c r="H194" s="2">
        <f t="shared" si="17"/>
        <v>2.5926760563380284</v>
      </c>
      <c r="J194" s="2">
        <f t="shared" si="18"/>
        <v>2.8943560057887119</v>
      </c>
      <c r="K194" s="3">
        <f t="shared" si="19"/>
        <v>1.8540116728198561</v>
      </c>
      <c r="M194">
        <f t="shared" si="20"/>
        <v>1.0527117611212675</v>
      </c>
    </row>
    <row r="195" spans="1:13" x14ac:dyDescent="0.25">
      <c r="A195" s="4" t="s">
        <v>196</v>
      </c>
      <c r="B195" s="4">
        <v>208</v>
      </c>
      <c r="C195">
        <f t="shared" si="14"/>
        <v>1.04</v>
      </c>
      <c r="D195">
        <f t="shared" si="15"/>
        <v>345.2</v>
      </c>
      <c r="E195">
        <v>72.2</v>
      </c>
      <c r="G195">
        <f t="shared" si="16"/>
        <v>345.2</v>
      </c>
      <c r="H195" s="2">
        <f t="shared" si="17"/>
        <v>2.5926760563380284</v>
      </c>
      <c r="J195" s="2">
        <f t="shared" si="18"/>
        <v>2.8968713789107765</v>
      </c>
      <c r="K195" s="3">
        <f t="shared" si="19"/>
        <v>1.8548803568183079</v>
      </c>
      <c r="M195">
        <f t="shared" si="20"/>
        <v>1.0517976843388177</v>
      </c>
    </row>
    <row r="196" spans="1:13" x14ac:dyDescent="0.25">
      <c r="A196" s="4" t="s">
        <v>197</v>
      </c>
      <c r="B196" s="4">
        <v>207</v>
      </c>
      <c r="C196">
        <f t="shared" si="14"/>
        <v>1.0349999999999999</v>
      </c>
      <c r="D196">
        <f t="shared" si="15"/>
        <v>345.2</v>
      </c>
      <c r="E196">
        <v>72.2</v>
      </c>
      <c r="G196">
        <f t="shared" si="16"/>
        <v>345.2</v>
      </c>
      <c r="H196" s="2">
        <f t="shared" si="17"/>
        <v>2.5802112676056339</v>
      </c>
      <c r="J196" s="2">
        <f t="shared" si="18"/>
        <v>2.8968713789107765</v>
      </c>
      <c r="K196" s="3">
        <f t="shared" si="19"/>
        <v>1.8452417839464099</v>
      </c>
      <c r="M196">
        <f t="shared" si="20"/>
        <v>1.0517976843388177</v>
      </c>
    </row>
    <row r="197" spans="1:13" x14ac:dyDescent="0.25">
      <c r="A197" s="4" t="s">
        <v>198</v>
      </c>
      <c r="B197" s="4">
        <v>206</v>
      </c>
      <c r="C197">
        <f t="shared" si="14"/>
        <v>1.03</v>
      </c>
      <c r="D197">
        <f t="shared" si="15"/>
        <v>345.2</v>
      </c>
      <c r="E197">
        <v>72.2</v>
      </c>
      <c r="G197">
        <f t="shared" si="16"/>
        <v>345.2</v>
      </c>
      <c r="H197" s="2">
        <f t="shared" si="17"/>
        <v>2.5677464788732394</v>
      </c>
      <c r="J197" s="2">
        <f t="shared" si="18"/>
        <v>2.8968713789107765</v>
      </c>
      <c r="K197" s="3">
        <f t="shared" si="19"/>
        <v>1.835556534994834</v>
      </c>
      <c r="M197">
        <f t="shared" si="20"/>
        <v>1.0517976843388177</v>
      </c>
    </row>
    <row r="198" spans="1:13" x14ac:dyDescent="0.25">
      <c r="A198" s="4" t="s">
        <v>199</v>
      </c>
      <c r="B198" s="4">
        <v>205</v>
      </c>
      <c r="C198">
        <f t="shared" si="14"/>
        <v>1.0249999999999999</v>
      </c>
      <c r="D198">
        <f t="shared" si="15"/>
        <v>345.1</v>
      </c>
      <c r="E198">
        <v>72.099999999999994</v>
      </c>
      <c r="G198">
        <f t="shared" si="16"/>
        <v>345.1</v>
      </c>
      <c r="H198" s="2">
        <f t="shared" si="17"/>
        <v>2.5552816901408453</v>
      </c>
      <c r="J198" s="2">
        <f t="shared" si="18"/>
        <v>2.8977108084613152</v>
      </c>
      <c r="K198" s="3">
        <f t="shared" si="19"/>
        <v>1.8261138847978033</v>
      </c>
      <c r="M198">
        <f t="shared" si="20"/>
        <v>1.0514929920780014</v>
      </c>
    </row>
    <row r="199" spans="1:13" x14ac:dyDescent="0.25">
      <c r="A199" s="4" t="s">
        <v>200</v>
      </c>
      <c r="B199" s="4">
        <v>206</v>
      </c>
      <c r="C199">
        <f t="shared" si="14"/>
        <v>1.03</v>
      </c>
      <c r="D199">
        <f t="shared" si="15"/>
        <v>345.1</v>
      </c>
      <c r="E199">
        <v>72.099999999999994</v>
      </c>
      <c r="G199">
        <f t="shared" si="16"/>
        <v>345.1</v>
      </c>
      <c r="H199" s="2">
        <f t="shared" si="17"/>
        <v>2.5677464788732394</v>
      </c>
      <c r="J199" s="2">
        <f t="shared" si="18"/>
        <v>2.8977108084613152</v>
      </c>
      <c r="K199" s="3">
        <f t="shared" si="19"/>
        <v>1.835846264100149</v>
      </c>
      <c r="M199">
        <f t="shared" si="20"/>
        <v>1.0514929920780014</v>
      </c>
    </row>
    <row r="200" spans="1:13" x14ac:dyDescent="0.25">
      <c r="A200" s="4" t="s">
        <v>201</v>
      </c>
      <c r="B200" s="4">
        <v>205</v>
      </c>
      <c r="C200">
        <f t="shared" si="14"/>
        <v>1.0249999999999999</v>
      </c>
      <c r="D200">
        <f t="shared" si="15"/>
        <v>345.1</v>
      </c>
      <c r="E200">
        <v>72.099999999999994</v>
      </c>
      <c r="G200">
        <f t="shared" si="16"/>
        <v>345.1</v>
      </c>
      <c r="H200" s="2">
        <f t="shared" si="17"/>
        <v>2.5552816901408453</v>
      </c>
      <c r="J200" s="2">
        <f t="shared" si="18"/>
        <v>2.8977108084613152</v>
      </c>
      <c r="K200" s="3">
        <f t="shared" si="19"/>
        <v>1.8261138847978033</v>
      </c>
      <c r="M200">
        <f t="shared" si="20"/>
        <v>1.0514929920780014</v>
      </c>
    </row>
    <row r="201" spans="1:13" x14ac:dyDescent="0.25">
      <c r="A201" s="4" t="s">
        <v>202</v>
      </c>
      <c r="B201" s="4">
        <v>204</v>
      </c>
      <c r="C201">
        <f t="shared" si="14"/>
        <v>1.02</v>
      </c>
      <c r="D201">
        <f t="shared" si="15"/>
        <v>345.1</v>
      </c>
      <c r="E201">
        <v>72.099999999999994</v>
      </c>
      <c r="G201">
        <f t="shared" si="16"/>
        <v>345.1</v>
      </c>
      <c r="H201" s="2">
        <f t="shared" si="17"/>
        <v>2.5428169014084507</v>
      </c>
      <c r="J201" s="2">
        <f t="shared" si="18"/>
        <v>2.8977108084613152</v>
      </c>
      <c r="K201" s="3">
        <f t="shared" si="19"/>
        <v>1.8163339142094195</v>
      </c>
      <c r="M201">
        <f t="shared" si="20"/>
        <v>1.0514929920780014</v>
      </c>
    </row>
    <row r="202" spans="1:13" x14ac:dyDescent="0.25">
      <c r="A202" s="4" t="s">
        <v>203</v>
      </c>
      <c r="B202" s="4">
        <v>201</v>
      </c>
      <c r="C202">
        <f t="shared" si="14"/>
        <v>1.0049999999999999</v>
      </c>
      <c r="D202">
        <f t="shared" si="15"/>
        <v>344.8</v>
      </c>
      <c r="E202">
        <v>71.8</v>
      </c>
      <c r="G202">
        <f t="shared" si="16"/>
        <v>344.8</v>
      </c>
      <c r="H202" s="2">
        <f t="shared" si="17"/>
        <v>2.5054225352112676</v>
      </c>
      <c r="J202" s="2">
        <f t="shared" si="18"/>
        <v>2.9002320185614847</v>
      </c>
      <c r="K202" s="3">
        <f t="shared" si="19"/>
        <v>1.7875734339535578</v>
      </c>
      <c r="M202">
        <f t="shared" si="20"/>
        <v>1.0505789152955516</v>
      </c>
    </row>
    <row r="203" spans="1:13" x14ac:dyDescent="0.25">
      <c r="A203" s="4" t="s">
        <v>204</v>
      </c>
      <c r="B203" s="4">
        <v>201</v>
      </c>
      <c r="C203">
        <f t="shared" ref="C203:C266" si="21">B203/200</f>
        <v>1.0049999999999999</v>
      </c>
      <c r="D203">
        <f t="shared" ref="D203:D266" si="22">273+E203</f>
        <v>344.8</v>
      </c>
      <c r="E203">
        <v>71.8</v>
      </c>
      <c r="G203">
        <f t="shared" ref="G203:G266" si="23">D203</f>
        <v>344.8</v>
      </c>
      <c r="H203" s="2">
        <f t="shared" ref="H203:H266" si="24">1.77*B203/142</f>
        <v>2.5054225352112676</v>
      </c>
      <c r="J203" s="2">
        <f t="shared" ref="J203:J266" si="25">1000/G203</f>
        <v>2.9002320185614847</v>
      </c>
      <c r="K203" s="3">
        <f t="shared" ref="K203:K266" si="26">LN(H203*H203/M203)</f>
        <v>1.7875734339535578</v>
      </c>
      <c r="M203">
        <f t="shared" ref="M203:M266" si="27">G203/328.2</f>
        <v>1.0505789152955516</v>
      </c>
    </row>
    <row r="204" spans="1:13" x14ac:dyDescent="0.25">
      <c r="A204" s="4" t="s">
        <v>205</v>
      </c>
      <c r="B204" s="4">
        <v>200</v>
      </c>
      <c r="C204">
        <f t="shared" si="21"/>
        <v>1</v>
      </c>
      <c r="D204">
        <f t="shared" si="22"/>
        <v>344.8</v>
      </c>
      <c r="E204">
        <v>71.8</v>
      </c>
      <c r="G204">
        <f t="shared" si="23"/>
        <v>344.8</v>
      </c>
      <c r="H204" s="2">
        <f t="shared" si="24"/>
        <v>2.492957746478873</v>
      </c>
      <c r="J204" s="2">
        <f t="shared" si="25"/>
        <v>2.9002320185614847</v>
      </c>
      <c r="K204" s="3">
        <f t="shared" si="26"/>
        <v>1.7775983509314797</v>
      </c>
      <c r="M204">
        <f t="shared" si="27"/>
        <v>1.0505789152955516</v>
      </c>
    </row>
    <row r="205" spans="1:13" x14ac:dyDescent="0.25">
      <c r="A205" s="4" t="s">
        <v>206</v>
      </c>
      <c r="B205" s="4">
        <v>199</v>
      </c>
      <c r="C205">
        <f t="shared" si="21"/>
        <v>0.995</v>
      </c>
      <c r="D205">
        <f t="shared" si="22"/>
        <v>344.5</v>
      </c>
      <c r="E205">
        <v>71.5</v>
      </c>
      <c r="G205">
        <f t="shared" si="23"/>
        <v>344.5</v>
      </c>
      <c r="H205" s="2">
        <f t="shared" si="24"/>
        <v>2.4804929577464789</v>
      </c>
      <c r="J205" s="2">
        <f t="shared" si="25"/>
        <v>2.9027576197387517</v>
      </c>
      <c r="K205" s="3">
        <f t="shared" si="26"/>
        <v>1.7684437156202162</v>
      </c>
      <c r="M205">
        <f t="shared" si="27"/>
        <v>1.0496648385131018</v>
      </c>
    </row>
    <row r="206" spans="1:13" x14ac:dyDescent="0.25">
      <c r="A206" s="4" t="s">
        <v>207</v>
      </c>
      <c r="B206" s="4">
        <v>199</v>
      </c>
      <c r="C206">
        <f t="shared" si="21"/>
        <v>0.995</v>
      </c>
      <c r="D206">
        <f t="shared" si="22"/>
        <v>344.5</v>
      </c>
      <c r="E206">
        <v>71.5</v>
      </c>
      <c r="G206">
        <f t="shared" si="23"/>
        <v>344.5</v>
      </c>
      <c r="H206" s="2">
        <f t="shared" si="24"/>
        <v>2.4804929577464789</v>
      </c>
      <c r="J206" s="2">
        <f t="shared" si="25"/>
        <v>2.9027576197387517</v>
      </c>
      <c r="K206" s="3">
        <f t="shared" si="26"/>
        <v>1.7684437156202162</v>
      </c>
      <c r="M206">
        <f t="shared" si="27"/>
        <v>1.0496648385131018</v>
      </c>
    </row>
    <row r="207" spans="1:13" x14ac:dyDescent="0.25">
      <c r="A207" s="4" t="s">
        <v>208</v>
      </c>
      <c r="B207" s="4">
        <v>200</v>
      </c>
      <c r="C207">
        <f t="shared" si="21"/>
        <v>1</v>
      </c>
      <c r="D207">
        <f t="shared" si="22"/>
        <v>344.5</v>
      </c>
      <c r="E207">
        <v>71.5</v>
      </c>
      <c r="G207">
        <f t="shared" si="23"/>
        <v>344.5</v>
      </c>
      <c r="H207" s="2">
        <f t="shared" si="24"/>
        <v>2.492957746478873</v>
      </c>
      <c r="J207" s="2">
        <f t="shared" si="25"/>
        <v>2.9027576197387517</v>
      </c>
      <c r="K207" s="3">
        <f t="shared" si="26"/>
        <v>1.7784687992673045</v>
      </c>
      <c r="M207">
        <f t="shared" si="27"/>
        <v>1.0496648385131018</v>
      </c>
    </row>
    <row r="208" spans="1:13" x14ac:dyDescent="0.25">
      <c r="A208" s="4" t="s">
        <v>209</v>
      </c>
      <c r="B208" s="4">
        <v>201</v>
      </c>
      <c r="C208">
        <f t="shared" si="21"/>
        <v>1.0049999999999999</v>
      </c>
      <c r="D208">
        <f t="shared" si="22"/>
        <v>344.1</v>
      </c>
      <c r="E208">
        <v>71.099999999999994</v>
      </c>
      <c r="G208">
        <f t="shared" si="23"/>
        <v>344.1</v>
      </c>
      <c r="H208" s="2">
        <f t="shared" si="24"/>
        <v>2.5054225352112676</v>
      </c>
      <c r="J208" s="2">
        <f t="shared" si="25"/>
        <v>2.9061319383900028</v>
      </c>
      <c r="K208" s="3">
        <f t="shared" si="26"/>
        <v>1.7896056599396613</v>
      </c>
      <c r="M208">
        <f t="shared" si="27"/>
        <v>1.0484460694698357</v>
      </c>
    </row>
    <row r="209" spans="1:13" x14ac:dyDescent="0.25">
      <c r="A209" s="4" t="s">
        <v>210</v>
      </c>
      <c r="B209" s="4">
        <v>200</v>
      </c>
      <c r="C209">
        <f t="shared" si="21"/>
        <v>1</v>
      </c>
      <c r="D209">
        <f t="shared" si="22"/>
        <v>344.1</v>
      </c>
      <c r="E209">
        <v>71.099999999999994</v>
      </c>
      <c r="G209">
        <f t="shared" si="23"/>
        <v>344.1</v>
      </c>
      <c r="H209" s="2">
        <f t="shared" si="24"/>
        <v>2.492957746478873</v>
      </c>
      <c r="J209" s="2">
        <f t="shared" si="25"/>
        <v>2.9061319383900028</v>
      </c>
      <c r="K209" s="3">
        <f t="shared" si="26"/>
        <v>1.7796305769175829</v>
      </c>
      <c r="M209">
        <f t="shared" si="27"/>
        <v>1.0484460694698357</v>
      </c>
    </row>
    <row r="210" spans="1:13" x14ac:dyDescent="0.25">
      <c r="A210" s="4" t="s">
        <v>211</v>
      </c>
      <c r="B210" s="4">
        <v>199</v>
      </c>
      <c r="C210">
        <f t="shared" si="21"/>
        <v>0.995</v>
      </c>
      <c r="D210">
        <f t="shared" si="22"/>
        <v>344.1</v>
      </c>
      <c r="E210">
        <v>71.099999999999994</v>
      </c>
      <c r="G210">
        <f t="shared" si="23"/>
        <v>344.1</v>
      </c>
      <c r="H210" s="2">
        <f t="shared" si="24"/>
        <v>2.4804929577464789</v>
      </c>
      <c r="J210" s="2">
        <f t="shared" si="25"/>
        <v>2.9061319383900028</v>
      </c>
      <c r="K210" s="3">
        <f t="shared" si="26"/>
        <v>1.7696054932704945</v>
      </c>
      <c r="M210">
        <f t="shared" si="27"/>
        <v>1.0484460694698357</v>
      </c>
    </row>
    <row r="211" spans="1:13" x14ac:dyDescent="0.25">
      <c r="A211" s="4" t="s">
        <v>212</v>
      </c>
      <c r="B211" s="4">
        <v>196</v>
      </c>
      <c r="C211">
        <f t="shared" si="21"/>
        <v>0.98</v>
      </c>
      <c r="D211">
        <f t="shared" si="22"/>
        <v>343.8</v>
      </c>
      <c r="E211">
        <v>70.8</v>
      </c>
      <c r="G211">
        <f t="shared" si="23"/>
        <v>343.8</v>
      </c>
      <c r="H211" s="2">
        <f t="shared" si="24"/>
        <v>2.4430985915492958</v>
      </c>
      <c r="J211" s="2">
        <f t="shared" si="25"/>
        <v>2.9086678301337985</v>
      </c>
      <c r="K211" s="3">
        <f t="shared" si="26"/>
        <v>1.7400973821372301</v>
      </c>
      <c r="M211">
        <f t="shared" si="27"/>
        <v>1.0475319926873858</v>
      </c>
    </row>
    <row r="212" spans="1:13" x14ac:dyDescent="0.25">
      <c r="A212" s="4" t="s">
        <v>213</v>
      </c>
      <c r="B212" s="4">
        <v>197</v>
      </c>
      <c r="C212">
        <f t="shared" si="21"/>
        <v>0.98499999999999999</v>
      </c>
      <c r="D212">
        <f t="shared" si="22"/>
        <v>343.8</v>
      </c>
      <c r="E212">
        <v>70.8</v>
      </c>
      <c r="G212">
        <f t="shared" si="23"/>
        <v>343.8</v>
      </c>
      <c r="H212" s="2">
        <f t="shared" si="24"/>
        <v>2.4555633802816903</v>
      </c>
      <c r="J212" s="2">
        <f t="shared" si="25"/>
        <v>2.9086678301337985</v>
      </c>
      <c r="K212" s="3">
        <f t="shared" si="26"/>
        <v>1.7502755211521728</v>
      </c>
      <c r="M212">
        <f t="shared" si="27"/>
        <v>1.0475319926873858</v>
      </c>
    </row>
    <row r="213" spans="1:13" x14ac:dyDescent="0.25">
      <c r="A213" s="4" t="s">
        <v>214</v>
      </c>
      <c r="B213" s="4">
        <v>197</v>
      </c>
      <c r="C213">
        <f t="shared" si="21"/>
        <v>0.98499999999999999</v>
      </c>
      <c r="D213">
        <f t="shared" si="22"/>
        <v>343.8</v>
      </c>
      <c r="E213">
        <v>70.8</v>
      </c>
      <c r="G213">
        <f t="shared" si="23"/>
        <v>343.8</v>
      </c>
      <c r="H213" s="2">
        <f t="shared" si="24"/>
        <v>2.4555633802816903</v>
      </c>
      <c r="J213" s="2">
        <f t="shared" si="25"/>
        <v>2.9086678301337985</v>
      </c>
      <c r="K213" s="3">
        <f t="shared" si="26"/>
        <v>1.7502755211521728</v>
      </c>
      <c r="M213">
        <f t="shared" si="27"/>
        <v>1.0475319926873858</v>
      </c>
    </row>
    <row r="214" spans="1:13" x14ac:dyDescent="0.25">
      <c r="A214" s="4" t="s">
        <v>215</v>
      </c>
      <c r="B214" s="4">
        <v>196</v>
      </c>
      <c r="C214">
        <f t="shared" si="21"/>
        <v>0.98</v>
      </c>
      <c r="D214">
        <f t="shared" si="22"/>
        <v>343.3</v>
      </c>
      <c r="E214">
        <v>70.3</v>
      </c>
      <c r="G214">
        <f t="shared" si="23"/>
        <v>343.3</v>
      </c>
      <c r="H214" s="2">
        <f t="shared" si="24"/>
        <v>2.4430985915492958</v>
      </c>
      <c r="J214" s="2">
        <f t="shared" si="25"/>
        <v>2.9129041654529564</v>
      </c>
      <c r="K214" s="3">
        <f t="shared" si="26"/>
        <v>1.7415527746223325</v>
      </c>
      <c r="M214">
        <f t="shared" si="27"/>
        <v>1.046008531383303</v>
      </c>
    </row>
    <row r="215" spans="1:13" x14ac:dyDescent="0.25">
      <c r="A215" s="4" t="s">
        <v>216</v>
      </c>
      <c r="B215" s="4">
        <v>195</v>
      </c>
      <c r="C215">
        <f t="shared" si="21"/>
        <v>0.97499999999999998</v>
      </c>
      <c r="D215">
        <f t="shared" si="22"/>
        <v>343.3</v>
      </c>
      <c r="E215">
        <v>70.3</v>
      </c>
      <c r="G215">
        <f t="shared" si="23"/>
        <v>343.3</v>
      </c>
      <c r="H215" s="2">
        <f t="shared" si="24"/>
        <v>2.4306338028169012</v>
      </c>
      <c r="J215" s="2">
        <f t="shared" si="25"/>
        <v>2.9129041654529564</v>
      </c>
      <c r="K215" s="3">
        <f t="shared" si="26"/>
        <v>1.7313225732887916</v>
      </c>
      <c r="M215">
        <f t="shared" si="27"/>
        <v>1.046008531383303</v>
      </c>
    </row>
    <row r="216" spans="1:13" x14ac:dyDescent="0.25">
      <c r="A216" s="4" t="s">
        <v>217</v>
      </c>
      <c r="B216" s="4">
        <v>195</v>
      </c>
      <c r="C216">
        <f t="shared" si="21"/>
        <v>0.97499999999999998</v>
      </c>
      <c r="D216">
        <f t="shared" si="22"/>
        <v>343.3</v>
      </c>
      <c r="E216">
        <v>70.3</v>
      </c>
      <c r="G216">
        <f t="shared" si="23"/>
        <v>343.3</v>
      </c>
      <c r="H216" s="2">
        <f t="shared" si="24"/>
        <v>2.4306338028169012</v>
      </c>
      <c r="J216" s="2">
        <f t="shared" si="25"/>
        <v>2.9129041654529564</v>
      </c>
      <c r="K216" s="3">
        <f t="shared" si="26"/>
        <v>1.7313225732887916</v>
      </c>
      <c r="M216">
        <f t="shared" si="27"/>
        <v>1.046008531383303</v>
      </c>
    </row>
    <row r="217" spans="1:13" x14ac:dyDescent="0.25">
      <c r="A217" s="4" t="s">
        <v>218</v>
      </c>
      <c r="B217" s="4">
        <v>194</v>
      </c>
      <c r="C217">
        <f t="shared" si="21"/>
        <v>0.97</v>
      </c>
      <c r="D217">
        <f t="shared" si="22"/>
        <v>343.3</v>
      </c>
      <c r="E217">
        <v>70.3</v>
      </c>
      <c r="G217">
        <f t="shared" si="23"/>
        <v>343.3</v>
      </c>
      <c r="H217" s="2">
        <f t="shared" si="24"/>
        <v>2.4181690140845071</v>
      </c>
      <c r="J217" s="2">
        <f t="shared" si="25"/>
        <v>2.9129041654529564</v>
      </c>
      <c r="K217" s="3">
        <f t="shared" si="26"/>
        <v>1.7210397742879544</v>
      </c>
      <c r="M217">
        <f t="shared" si="27"/>
        <v>1.046008531383303</v>
      </c>
    </row>
    <row r="218" spans="1:13" x14ac:dyDescent="0.25">
      <c r="A218" s="4" t="s">
        <v>219</v>
      </c>
      <c r="B218" s="4">
        <v>194</v>
      </c>
      <c r="C218">
        <f t="shared" si="21"/>
        <v>0.97</v>
      </c>
      <c r="D218">
        <f t="shared" si="22"/>
        <v>343.1</v>
      </c>
      <c r="E218">
        <v>70.099999999999994</v>
      </c>
      <c r="G218">
        <f t="shared" si="23"/>
        <v>343.1</v>
      </c>
      <c r="H218" s="2">
        <f t="shared" si="24"/>
        <v>2.4181690140845071</v>
      </c>
      <c r="J218" s="2">
        <f t="shared" si="25"/>
        <v>2.914602156805596</v>
      </c>
      <c r="K218" s="3">
        <f t="shared" si="26"/>
        <v>1.7216225248871968</v>
      </c>
      <c r="M218">
        <f t="shared" si="27"/>
        <v>1.0453991468616699</v>
      </c>
    </row>
    <row r="219" spans="1:13" x14ac:dyDescent="0.25">
      <c r="A219" s="4" t="s">
        <v>220</v>
      </c>
      <c r="B219" s="4">
        <v>192</v>
      </c>
      <c r="C219">
        <f t="shared" si="21"/>
        <v>0.96</v>
      </c>
      <c r="D219">
        <f t="shared" si="22"/>
        <v>343.1</v>
      </c>
      <c r="E219">
        <v>70.099999999999994</v>
      </c>
      <c r="G219">
        <f t="shared" si="23"/>
        <v>343.1</v>
      </c>
      <c r="H219" s="2">
        <f t="shared" si="24"/>
        <v>2.3932394366197185</v>
      </c>
      <c r="J219" s="2">
        <f t="shared" si="25"/>
        <v>2.914602156805596</v>
      </c>
      <c r="K219" s="3">
        <f t="shared" si="26"/>
        <v>1.7008969508161038</v>
      </c>
      <c r="M219">
        <f t="shared" si="27"/>
        <v>1.0453991468616699</v>
      </c>
    </row>
    <row r="220" spans="1:13" x14ac:dyDescent="0.25">
      <c r="A220" s="4" t="s">
        <v>221</v>
      </c>
      <c r="B220" s="4">
        <v>193</v>
      </c>
      <c r="C220">
        <f t="shared" si="21"/>
        <v>0.96499999999999997</v>
      </c>
      <c r="D220">
        <f t="shared" si="22"/>
        <v>343.1</v>
      </c>
      <c r="E220">
        <v>70.099999999999994</v>
      </c>
      <c r="G220">
        <f t="shared" si="23"/>
        <v>343.1</v>
      </c>
      <c r="H220" s="2">
        <f t="shared" si="24"/>
        <v>2.4057042253521126</v>
      </c>
      <c r="J220" s="2">
        <f t="shared" si="25"/>
        <v>2.914602156805596</v>
      </c>
      <c r="K220" s="3">
        <f t="shared" si="26"/>
        <v>1.7112865845703114</v>
      </c>
      <c r="M220">
        <f t="shared" si="27"/>
        <v>1.0453991468616699</v>
      </c>
    </row>
    <row r="221" spans="1:13" x14ac:dyDescent="0.25">
      <c r="A221" s="4" t="s">
        <v>222</v>
      </c>
      <c r="B221" s="4">
        <v>192</v>
      </c>
      <c r="C221">
        <f t="shared" si="21"/>
        <v>0.96</v>
      </c>
      <c r="D221">
        <f t="shared" si="22"/>
        <v>343</v>
      </c>
      <c r="E221">
        <v>70</v>
      </c>
      <c r="G221">
        <f t="shared" si="23"/>
        <v>343</v>
      </c>
      <c r="H221" s="2">
        <f t="shared" si="24"/>
        <v>2.3932394366197185</v>
      </c>
      <c r="J221" s="2">
        <f t="shared" si="25"/>
        <v>2.9154518950437316</v>
      </c>
      <c r="K221" s="3">
        <f t="shared" si="26"/>
        <v>1.701188453514568</v>
      </c>
      <c r="M221">
        <f t="shared" si="27"/>
        <v>1.0450944546008532</v>
      </c>
    </row>
    <row r="222" spans="1:13" x14ac:dyDescent="0.25">
      <c r="A222" s="4" t="s">
        <v>223</v>
      </c>
      <c r="B222" s="4">
        <v>192</v>
      </c>
      <c r="C222">
        <f t="shared" si="21"/>
        <v>0.96</v>
      </c>
      <c r="D222">
        <f t="shared" si="22"/>
        <v>343</v>
      </c>
      <c r="E222">
        <v>70</v>
      </c>
      <c r="G222">
        <f t="shared" si="23"/>
        <v>343</v>
      </c>
      <c r="H222" s="2">
        <f t="shared" si="24"/>
        <v>2.3932394366197185</v>
      </c>
      <c r="J222" s="2">
        <f t="shared" si="25"/>
        <v>2.9154518950437316</v>
      </c>
      <c r="K222" s="3">
        <f t="shared" si="26"/>
        <v>1.701188453514568</v>
      </c>
      <c r="M222">
        <f t="shared" si="27"/>
        <v>1.0450944546008532</v>
      </c>
    </row>
    <row r="223" spans="1:13" x14ac:dyDescent="0.25">
      <c r="A223" s="4" t="s">
        <v>224</v>
      </c>
      <c r="B223" s="4">
        <v>191</v>
      </c>
      <c r="C223">
        <f t="shared" si="21"/>
        <v>0.95499999999999996</v>
      </c>
      <c r="D223">
        <f t="shared" si="22"/>
        <v>343</v>
      </c>
      <c r="E223">
        <v>70</v>
      </c>
      <c r="G223">
        <f t="shared" si="23"/>
        <v>343</v>
      </c>
      <c r="H223" s="2">
        <f t="shared" si="24"/>
        <v>2.380774647887324</v>
      </c>
      <c r="J223" s="2">
        <f t="shared" si="25"/>
        <v>2.9154518950437316</v>
      </c>
      <c r="K223" s="3">
        <f t="shared" si="26"/>
        <v>1.6907445655522644</v>
      </c>
      <c r="M223">
        <f t="shared" si="27"/>
        <v>1.0450944546008532</v>
      </c>
    </row>
    <row r="224" spans="1:13" x14ac:dyDescent="0.25">
      <c r="A224" s="4" t="s">
        <v>225</v>
      </c>
      <c r="B224" s="4">
        <v>190</v>
      </c>
      <c r="C224">
        <f t="shared" si="21"/>
        <v>0.95</v>
      </c>
      <c r="D224">
        <f t="shared" si="22"/>
        <v>342.8</v>
      </c>
      <c r="E224">
        <v>69.8</v>
      </c>
      <c r="G224">
        <f t="shared" si="23"/>
        <v>342.8</v>
      </c>
      <c r="H224" s="2">
        <f t="shared" si="24"/>
        <v>2.3683098591549299</v>
      </c>
      <c r="J224" s="2">
        <f t="shared" si="25"/>
        <v>2.9171528588098017</v>
      </c>
      <c r="K224" s="3">
        <f t="shared" si="26"/>
        <v>1.6808291142222924</v>
      </c>
      <c r="M224">
        <f t="shared" si="27"/>
        <v>1.0444850700792201</v>
      </c>
    </row>
    <row r="225" spans="1:13" x14ac:dyDescent="0.25">
      <c r="A225" s="4" t="s">
        <v>226</v>
      </c>
      <c r="B225" s="4">
        <v>190</v>
      </c>
      <c r="C225">
        <f t="shared" si="21"/>
        <v>0.95</v>
      </c>
      <c r="D225">
        <f t="shared" si="22"/>
        <v>342.8</v>
      </c>
      <c r="E225">
        <v>69.8</v>
      </c>
      <c r="G225">
        <f t="shared" si="23"/>
        <v>342.8</v>
      </c>
      <c r="H225" s="2">
        <f t="shared" si="24"/>
        <v>2.3683098591549299</v>
      </c>
      <c r="J225" s="2">
        <f t="shared" si="25"/>
        <v>2.9171528588098017</v>
      </c>
      <c r="K225" s="3">
        <f t="shared" si="26"/>
        <v>1.6808291142222924</v>
      </c>
      <c r="M225">
        <f t="shared" si="27"/>
        <v>1.0444850700792201</v>
      </c>
    </row>
    <row r="226" spans="1:13" x14ac:dyDescent="0.25">
      <c r="A226" s="4" t="s">
        <v>227</v>
      </c>
      <c r="B226" s="4">
        <v>189</v>
      </c>
      <c r="C226">
        <f t="shared" si="21"/>
        <v>0.94499999999999995</v>
      </c>
      <c r="D226">
        <f t="shared" si="22"/>
        <v>342.8</v>
      </c>
      <c r="E226">
        <v>69.8</v>
      </c>
      <c r="G226">
        <f t="shared" si="23"/>
        <v>342.8</v>
      </c>
      <c r="H226" s="2">
        <f t="shared" si="24"/>
        <v>2.3558450704225353</v>
      </c>
      <c r="J226" s="2">
        <f t="shared" si="25"/>
        <v>2.9171528588098017</v>
      </c>
      <c r="K226" s="3">
        <f t="shared" si="26"/>
        <v>1.6702750000206046</v>
      </c>
      <c r="M226">
        <f t="shared" si="27"/>
        <v>1.0444850700792201</v>
      </c>
    </row>
    <row r="227" spans="1:13" x14ac:dyDescent="0.25">
      <c r="A227" s="4" t="s">
        <v>228</v>
      </c>
      <c r="B227" s="4">
        <v>190</v>
      </c>
      <c r="C227">
        <f t="shared" si="21"/>
        <v>0.95</v>
      </c>
      <c r="D227">
        <f t="shared" si="22"/>
        <v>342.6</v>
      </c>
      <c r="E227">
        <v>69.599999999999994</v>
      </c>
      <c r="G227">
        <f t="shared" si="23"/>
        <v>342.6</v>
      </c>
      <c r="H227" s="2">
        <f t="shared" si="24"/>
        <v>2.3683098591549299</v>
      </c>
      <c r="J227" s="2">
        <f t="shared" si="25"/>
        <v>2.9188558085230589</v>
      </c>
      <c r="K227" s="3">
        <f t="shared" si="26"/>
        <v>1.6814127150558975</v>
      </c>
      <c r="M227">
        <f t="shared" si="27"/>
        <v>1.043875685557587</v>
      </c>
    </row>
    <row r="228" spans="1:13" x14ac:dyDescent="0.25">
      <c r="A228" s="4" t="s">
        <v>229</v>
      </c>
      <c r="B228" s="4">
        <v>190</v>
      </c>
      <c r="C228">
        <f t="shared" si="21"/>
        <v>0.95</v>
      </c>
      <c r="D228">
        <f t="shared" si="22"/>
        <v>342.6</v>
      </c>
      <c r="E228">
        <v>69.599999999999994</v>
      </c>
      <c r="G228">
        <f t="shared" si="23"/>
        <v>342.6</v>
      </c>
      <c r="H228" s="2">
        <f t="shared" si="24"/>
        <v>2.3683098591549299</v>
      </c>
      <c r="J228" s="2">
        <f t="shared" si="25"/>
        <v>2.9188558085230589</v>
      </c>
      <c r="K228" s="3">
        <f t="shared" si="26"/>
        <v>1.6814127150558975</v>
      </c>
      <c r="M228">
        <f t="shared" si="27"/>
        <v>1.043875685557587</v>
      </c>
    </row>
    <row r="229" spans="1:13" x14ac:dyDescent="0.25">
      <c r="A229" s="4" t="s">
        <v>230</v>
      </c>
      <c r="B229" s="4">
        <v>190</v>
      </c>
      <c r="C229">
        <f t="shared" si="21"/>
        <v>0.95</v>
      </c>
      <c r="D229">
        <f t="shared" si="22"/>
        <v>342.6</v>
      </c>
      <c r="E229">
        <v>69.599999999999994</v>
      </c>
      <c r="G229">
        <f t="shared" si="23"/>
        <v>342.6</v>
      </c>
      <c r="H229" s="2">
        <f t="shared" si="24"/>
        <v>2.3683098591549299</v>
      </c>
      <c r="J229" s="2">
        <f t="shared" si="25"/>
        <v>2.9188558085230589</v>
      </c>
      <c r="K229" s="3">
        <f t="shared" si="26"/>
        <v>1.6814127150558975</v>
      </c>
      <c r="M229">
        <f t="shared" si="27"/>
        <v>1.043875685557587</v>
      </c>
    </row>
    <row r="230" spans="1:13" x14ac:dyDescent="0.25">
      <c r="A230" s="4" t="s">
        <v>231</v>
      </c>
      <c r="B230" s="4">
        <v>188</v>
      </c>
      <c r="C230">
        <f t="shared" si="21"/>
        <v>0.94</v>
      </c>
      <c r="D230">
        <f t="shared" si="22"/>
        <v>342.3</v>
      </c>
      <c r="E230">
        <v>69.3</v>
      </c>
      <c r="G230">
        <f t="shared" si="23"/>
        <v>342.3</v>
      </c>
      <c r="H230" s="2">
        <f t="shared" si="24"/>
        <v>2.3433802816901408</v>
      </c>
      <c r="J230" s="2">
        <f t="shared" si="25"/>
        <v>2.9214139643587496</v>
      </c>
      <c r="K230" s="3">
        <f t="shared" si="26"/>
        <v>1.6611245367487033</v>
      </c>
      <c r="M230">
        <f t="shared" si="27"/>
        <v>1.0429616087751372</v>
      </c>
    </row>
    <row r="231" spans="1:13" x14ac:dyDescent="0.25">
      <c r="A231" s="4" t="s">
        <v>232</v>
      </c>
      <c r="B231" s="4">
        <v>187</v>
      </c>
      <c r="C231">
        <f t="shared" si="21"/>
        <v>0.93500000000000005</v>
      </c>
      <c r="D231">
        <f t="shared" si="22"/>
        <v>342.3</v>
      </c>
      <c r="E231">
        <v>69.3</v>
      </c>
      <c r="G231">
        <f t="shared" si="23"/>
        <v>342.3</v>
      </c>
      <c r="H231" s="2">
        <f t="shared" si="24"/>
        <v>2.3309154929577467</v>
      </c>
      <c r="J231" s="2">
        <f t="shared" si="25"/>
        <v>2.9214139643587496</v>
      </c>
      <c r="K231" s="3">
        <f t="shared" si="26"/>
        <v>1.6504578447979783</v>
      </c>
      <c r="M231">
        <f t="shared" si="27"/>
        <v>1.0429616087751372</v>
      </c>
    </row>
    <row r="232" spans="1:13" x14ac:dyDescent="0.25">
      <c r="A232" s="4" t="s">
        <v>233</v>
      </c>
      <c r="B232" s="4">
        <v>187</v>
      </c>
      <c r="C232">
        <f t="shared" si="21"/>
        <v>0.93500000000000005</v>
      </c>
      <c r="D232">
        <f t="shared" si="22"/>
        <v>342.3</v>
      </c>
      <c r="E232">
        <v>69.3</v>
      </c>
      <c r="G232">
        <f t="shared" si="23"/>
        <v>342.3</v>
      </c>
      <c r="H232" s="2">
        <f t="shared" si="24"/>
        <v>2.3309154929577467</v>
      </c>
      <c r="J232" s="2">
        <f t="shared" si="25"/>
        <v>2.9214139643587496</v>
      </c>
      <c r="K232" s="3">
        <f t="shared" si="26"/>
        <v>1.6504578447979783</v>
      </c>
      <c r="M232">
        <f t="shared" si="27"/>
        <v>1.0429616087751372</v>
      </c>
    </row>
    <row r="233" spans="1:13" x14ac:dyDescent="0.25">
      <c r="A233" s="4" t="s">
        <v>234</v>
      </c>
      <c r="B233" s="4">
        <v>187</v>
      </c>
      <c r="C233">
        <f t="shared" si="21"/>
        <v>0.93500000000000005</v>
      </c>
      <c r="D233">
        <f t="shared" si="22"/>
        <v>342.3</v>
      </c>
      <c r="E233">
        <v>69.3</v>
      </c>
      <c r="G233">
        <f t="shared" si="23"/>
        <v>342.3</v>
      </c>
      <c r="H233" s="2">
        <f t="shared" si="24"/>
        <v>2.3309154929577467</v>
      </c>
      <c r="J233" s="2">
        <f t="shared" si="25"/>
        <v>2.9214139643587496</v>
      </c>
      <c r="K233" s="3">
        <f t="shared" si="26"/>
        <v>1.6504578447979783</v>
      </c>
      <c r="M233">
        <f t="shared" si="27"/>
        <v>1.0429616087751372</v>
      </c>
    </row>
    <row r="234" spans="1:13" x14ac:dyDescent="0.25">
      <c r="A234" s="4" t="s">
        <v>235</v>
      </c>
      <c r="B234" s="4">
        <v>187</v>
      </c>
      <c r="C234">
        <f t="shared" si="21"/>
        <v>0.93500000000000005</v>
      </c>
      <c r="D234">
        <f t="shared" si="22"/>
        <v>342</v>
      </c>
      <c r="E234">
        <v>69</v>
      </c>
      <c r="G234">
        <f t="shared" si="23"/>
        <v>342</v>
      </c>
      <c r="H234" s="2">
        <f t="shared" si="24"/>
        <v>2.3309154929577467</v>
      </c>
      <c r="J234" s="2">
        <f t="shared" si="25"/>
        <v>2.9239766081871346</v>
      </c>
      <c r="K234" s="3">
        <f t="shared" si="26"/>
        <v>1.6513346532715127</v>
      </c>
      <c r="M234">
        <f t="shared" si="27"/>
        <v>1.0420475319926874</v>
      </c>
    </row>
    <row r="235" spans="1:13" x14ac:dyDescent="0.25">
      <c r="A235" s="4" t="s">
        <v>236</v>
      </c>
      <c r="B235" s="4">
        <v>185</v>
      </c>
      <c r="C235">
        <f t="shared" si="21"/>
        <v>0.92500000000000004</v>
      </c>
      <c r="D235">
        <f t="shared" si="22"/>
        <v>342</v>
      </c>
      <c r="E235">
        <v>69</v>
      </c>
      <c r="G235">
        <f t="shared" si="23"/>
        <v>342</v>
      </c>
      <c r="H235" s="2">
        <f t="shared" si="24"/>
        <v>2.3059859154929576</v>
      </c>
      <c r="J235" s="2">
        <f t="shared" si="25"/>
        <v>2.9239766081871346</v>
      </c>
      <c r="K235" s="3">
        <f t="shared" si="26"/>
        <v>1.629829069718989</v>
      </c>
      <c r="M235">
        <f t="shared" si="27"/>
        <v>1.0420475319926874</v>
      </c>
    </row>
    <row r="236" spans="1:13" x14ac:dyDescent="0.25">
      <c r="A236" s="4" t="s">
        <v>237</v>
      </c>
      <c r="B236" s="4">
        <v>186</v>
      </c>
      <c r="C236">
        <f t="shared" si="21"/>
        <v>0.93</v>
      </c>
      <c r="D236">
        <f t="shared" si="22"/>
        <v>342</v>
      </c>
      <c r="E236">
        <v>69</v>
      </c>
      <c r="G236">
        <f t="shared" si="23"/>
        <v>342</v>
      </c>
      <c r="H236" s="2">
        <f t="shared" si="24"/>
        <v>2.3184507042253522</v>
      </c>
      <c r="J236" s="2">
        <f t="shared" si="25"/>
        <v>2.9239766081871346</v>
      </c>
      <c r="K236" s="3">
        <f t="shared" si="26"/>
        <v>1.640610766988742</v>
      </c>
      <c r="M236">
        <f t="shared" si="27"/>
        <v>1.0420475319926874</v>
      </c>
    </row>
    <row r="237" spans="1:13" x14ac:dyDescent="0.25">
      <c r="A237" s="4" t="s">
        <v>238</v>
      </c>
      <c r="B237" s="4">
        <v>185</v>
      </c>
      <c r="C237">
        <f t="shared" si="21"/>
        <v>0.92500000000000004</v>
      </c>
      <c r="D237">
        <f t="shared" si="22"/>
        <v>341.6</v>
      </c>
      <c r="E237">
        <v>68.599999999999994</v>
      </c>
      <c r="G237">
        <f t="shared" si="23"/>
        <v>341.6</v>
      </c>
      <c r="H237" s="2">
        <f t="shared" si="24"/>
        <v>2.3059859154929576</v>
      </c>
      <c r="J237" s="2">
        <f t="shared" si="25"/>
        <v>2.9274004683840746</v>
      </c>
      <c r="K237" s="3">
        <f t="shared" si="26"/>
        <v>1.6309993448671791</v>
      </c>
      <c r="M237">
        <f t="shared" si="27"/>
        <v>1.0408287629494213</v>
      </c>
    </row>
    <row r="238" spans="1:13" x14ac:dyDescent="0.25">
      <c r="A238" s="4" t="s">
        <v>239</v>
      </c>
      <c r="B238" s="4">
        <v>185</v>
      </c>
      <c r="C238">
        <f t="shared" si="21"/>
        <v>0.92500000000000004</v>
      </c>
      <c r="D238">
        <f t="shared" si="22"/>
        <v>341.6</v>
      </c>
      <c r="E238">
        <v>68.599999999999994</v>
      </c>
      <c r="G238">
        <f t="shared" si="23"/>
        <v>341.6</v>
      </c>
      <c r="H238" s="2">
        <f t="shared" si="24"/>
        <v>2.3059859154929576</v>
      </c>
      <c r="J238" s="2">
        <f t="shared" si="25"/>
        <v>2.9274004683840746</v>
      </c>
      <c r="K238" s="3">
        <f t="shared" si="26"/>
        <v>1.6309993448671791</v>
      </c>
      <c r="M238">
        <f t="shared" si="27"/>
        <v>1.0408287629494213</v>
      </c>
    </row>
    <row r="239" spans="1:13" x14ac:dyDescent="0.25">
      <c r="A239" s="4" t="s">
        <v>240</v>
      </c>
      <c r="B239" s="4">
        <v>184</v>
      </c>
      <c r="C239">
        <f t="shared" si="21"/>
        <v>0.92</v>
      </c>
      <c r="D239">
        <f t="shared" si="22"/>
        <v>341.6</v>
      </c>
      <c r="E239">
        <v>68.599999999999994</v>
      </c>
      <c r="G239">
        <f t="shared" si="23"/>
        <v>341.6</v>
      </c>
      <c r="H239" s="2">
        <f t="shared" si="24"/>
        <v>2.2935211267605635</v>
      </c>
      <c r="J239" s="2">
        <f t="shared" si="25"/>
        <v>2.9274004683840746</v>
      </c>
      <c r="K239" s="3">
        <f t="shared" si="26"/>
        <v>1.6201592099285009</v>
      </c>
      <c r="M239">
        <f t="shared" si="27"/>
        <v>1.0408287629494213</v>
      </c>
    </row>
    <row r="240" spans="1:13" x14ac:dyDescent="0.25">
      <c r="A240" s="4" t="s">
        <v>241</v>
      </c>
      <c r="B240" s="4">
        <v>183</v>
      </c>
      <c r="C240">
        <f t="shared" si="21"/>
        <v>0.91500000000000004</v>
      </c>
      <c r="D240">
        <f t="shared" si="22"/>
        <v>341.2</v>
      </c>
      <c r="E240">
        <v>68.2</v>
      </c>
      <c r="G240">
        <f t="shared" si="23"/>
        <v>341.2</v>
      </c>
      <c r="H240" s="2">
        <f t="shared" si="24"/>
        <v>2.281056338028169</v>
      </c>
      <c r="J240" s="2">
        <f t="shared" si="25"/>
        <v>2.9308323563892147</v>
      </c>
      <c r="K240" s="3">
        <f t="shared" si="26"/>
        <v>1.6104316466902626</v>
      </c>
      <c r="M240">
        <f t="shared" si="27"/>
        <v>1.0396099939061547</v>
      </c>
    </row>
    <row r="241" spans="1:13" x14ac:dyDescent="0.25">
      <c r="A241" s="4" t="s">
        <v>242</v>
      </c>
      <c r="B241" s="4">
        <v>184</v>
      </c>
      <c r="C241">
        <f t="shared" si="21"/>
        <v>0.92</v>
      </c>
      <c r="D241">
        <f t="shared" si="22"/>
        <v>341.2</v>
      </c>
      <c r="E241">
        <v>68.2</v>
      </c>
      <c r="G241">
        <f t="shared" si="23"/>
        <v>341.2</v>
      </c>
      <c r="H241" s="2">
        <f t="shared" si="24"/>
        <v>2.2935211267605635</v>
      </c>
      <c r="J241" s="2">
        <f t="shared" si="25"/>
        <v>2.9308323563892147</v>
      </c>
      <c r="K241" s="3">
        <f t="shared" si="26"/>
        <v>1.6213308562253921</v>
      </c>
      <c r="M241">
        <f t="shared" si="27"/>
        <v>1.0396099939061547</v>
      </c>
    </row>
    <row r="242" spans="1:13" x14ac:dyDescent="0.25">
      <c r="A242" s="4" t="s">
        <v>243</v>
      </c>
      <c r="B242" s="4">
        <v>186</v>
      </c>
      <c r="C242">
        <f t="shared" si="21"/>
        <v>0.93</v>
      </c>
      <c r="D242">
        <f t="shared" si="22"/>
        <v>341.2</v>
      </c>
      <c r="E242">
        <v>68.2</v>
      </c>
      <c r="G242">
        <f t="shared" si="23"/>
        <v>341.2</v>
      </c>
      <c r="H242" s="2">
        <f t="shared" si="24"/>
        <v>2.3184507042253522</v>
      </c>
      <c r="J242" s="2">
        <f t="shared" si="25"/>
        <v>2.9308323563892147</v>
      </c>
      <c r="K242" s="3">
        <f t="shared" si="26"/>
        <v>1.642952688433823</v>
      </c>
      <c r="M242">
        <f t="shared" si="27"/>
        <v>1.0396099939061547</v>
      </c>
    </row>
    <row r="243" spans="1:13" x14ac:dyDescent="0.25">
      <c r="A243" s="4" t="s">
        <v>244</v>
      </c>
      <c r="B243" s="4">
        <v>185</v>
      </c>
      <c r="C243">
        <f t="shared" si="21"/>
        <v>0.92500000000000004</v>
      </c>
      <c r="D243">
        <f t="shared" si="22"/>
        <v>340.7</v>
      </c>
      <c r="E243">
        <v>67.7</v>
      </c>
      <c r="G243">
        <f t="shared" si="23"/>
        <v>340.7</v>
      </c>
      <c r="H243" s="2">
        <f t="shared" si="24"/>
        <v>2.3059859154929576</v>
      </c>
      <c r="J243" s="2">
        <f t="shared" si="25"/>
        <v>2.9351335485764602</v>
      </c>
      <c r="K243" s="3">
        <f t="shared" si="26"/>
        <v>1.6336374821146733</v>
      </c>
      <c r="M243">
        <f t="shared" si="27"/>
        <v>1.0380865326020718</v>
      </c>
    </row>
    <row r="244" spans="1:13" x14ac:dyDescent="0.25">
      <c r="A244" s="4" t="s">
        <v>245</v>
      </c>
      <c r="B244" s="4">
        <v>185</v>
      </c>
      <c r="C244">
        <f t="shared" si="21"/>
        <v>0.92500000000000004</v>
      </c>
      <c r="D244">
        <f t="shared" si="22"/>
        <v>340.7</v>
      </c>
      <c r="E244">
        <v>67.7</v>
      </c>
      <c r="G244">
        <f t="shared" si="23"/>
        <v>340.7</v>
      </c>
      <c r="H244" s="2">
        <f t="shared" si="24"/>
        <v>2.3059859154929576</v>
      </c>
      <c r="J244" s="2">
        <f t="shared" si="25"/>
        <v>2.9351335485764602</v>
      </c>
      <c r="K244" s="3">
        <f t="shared" si="26"/>
        <v>1.6336374821146733</v>
      </c>
      <c r="M244">
        <f t="shared" si="27"/>
        <v>1.0380865326020718</v>
      </c>
    </row>
    <row r="245" spans="1:13" x14ac:dyDescent="0.25">
      <c r="A245" s="4" t="s">
        <v>246</v>
      </c>
      <c r="B245" s="4">
        <v>184</v>
      </c>
      <c r="C245">
        <f t="shared" si="21"/>
        <v>0.92</v>
      </c>
      <c r="D245">
        <f t="shared" si="22"/>
        <v>340.7</v>
      </c>
      <c r="E245">
        <v>67.7</v>
      </c>
      <c r="G245">
        <f t="shared" si="23"/>
        <v>340.7</v>
      </c>
      <c r="H245" s="2">
        <f t="shared" si="24"/>
        <v>2.2935211267605635</v>
      </c>
      <c r="J245" s="2">
        <f t="shared" si="25"/>
        <v>2.9351335485764602</v>
      </c>
      <c r="K245" s="3">
        <f t="shared" si="26"/>
        <v>1.6227973471759951</v>
      </c>
      <c r="M245">
        <f t="shared" si="27"/>
        <v>1.0380865326020718</v>
      </c>
    </row>
    <row r="246" spans="1:13" x14ac:dyDescent="0.25">
      <c r="A246" s="4" t="s">
        <v>247</v>
      </c>
      <c r="B246" s="4">
        <v>184</v>
      </c>
      <c r="C246">
        <f t="shared" si="21"/>
        <v>0.92</v>
      </c>
      <c r="D246">
        <f t="shared" si="22"/>
        <v>340.5</v>
      </c>
      <c r="E246">
        <v>67.5</v>
      </c>
      <c r="G246">
        <f t="shared" si="23"/>
        <v>340.5</v>
      </c>
      <c r="H246" s="2">
        <f t="shared" si="24"/>
        <v>2.2935211267605635</v>
      </c>
      <c r="J246" s="2">
        <f t="shared" si="25"/>
        <v>2.9368575624082234</v>
      </c>
      <c r="K246" s="3">
        <f t="shared" si="26"/>
        <v>1.6233845462533489</v>
      </c>
      <c r="M246">
        <f t="shared" si="27"/>
        <v>1.0374771480804388</v>
      </c>
    </row>
    <row r="247" spans="1:13" x14ac:dyDescent="0.25">
      <c r="A247" s="4" t="s">
        <v>248</v>
      </c>
      <c r="B247" s="4">
        <v>185</v>
      </c>
      <c r="C247">
        <f t="shared" si="21"/>
        <v>0.92500000000000004</v>
      </c>
      <c r="D247">
        <f t="shared" si="22"/>
        <v>340.5</v>
      </c>
      <c r="E247">
        <v>67.5</v>
      </c>
      <c r="G247">
        <f t="shared" si="23"/>
        <v>340.5</v>
      </c>
      <c r="H247" s="2">
        <f t="shared" si="24"/>
        <v>2.3059859154929576</v>
      </c>
      <c r="J247" s="2">
        <f t="shared" si="25"/>
        <v>2.9368575624082234</v>
      </c>
      <c r="K247" s="3">
        <f t="shared" si="26"/>
        <v>1.6342246811920271</v>
      </c>
      <c r="M247">
        <f t="shared" si="27"/>
        <v>1.0374771480804388</v>
      </c>
    </row>
    <row r="248" spans="1:13" x14ac:dyDescent="0.25">
      <c r="A248" s="4" t="s">
        <v>249</v>
      </c>
      <c r="B248" s="4">
        <v>184</v>
      </c>
      <c r="C248">
        <f t="shared" si="21"/>
        <v>0.92</v>
      </c>
      <c r="D248">
        <f t="shared" si="22"/>
        <v>340.5</v>
      </c>
      <c r="E248">
        <v>67.5</v>
      </c>
      <c r="G248">
        <f t="shared" si="23"/>
        <v>340.5</v>
      </c>
      <c r="H248" s="2">
        <f t="shared" si="24"/>
        <v>2.2935211267605635</v>
      </c>
      <c r="J248" s="2">
        <f t="shared" si="25"/>
        <v>2.9368575624082234</v>
      </c>
      <c r="K248" s="3">
        <f t="shared" si="26"/>
        <v>1.6233845462533489</v>
      </c>
      <c r="M248">
        <f t="shared" si="27"/>
        <v>1.0374771480804388</v>
      </c>
    </row>
    <row r="249" spans="1:13" x14ac:dyDescent="0.25">
      <c r="A249" s="4" t="s">
        <v>250</v>
      </c>
      <c r="B249" s="4">
        <v>182</v>
      </c>
      <c r="C249">
        <f t="shared" si="21"/>
        <v>0.91</v>
      </c>
      <c r="D249">
        <f t="shared" si="22"/>
        <v>340.5</v>
      </c>
      <c r="E249">
        <v>67.5</v>
      </c>
      <c r="G249">
        <f t="shared" si="23"/>
        <v>340.5</v>
      </c>
      <c r="H249" s="2">
        <f t="shared" si="24"/>
        <v>2.2685915492957744</v>
      </c>
      <c r="J249" s="2">
        <f t="shared" si="25"/>
        <v>2.9368575624082234</v>
      </c>
      <c r="K249" s="3">
        <f t="shared" si="26"/>
        <v>1.6015264051889682</v>
      </c>
      <c r="M249">
        <f t="shared" si="27"/>
        <v>1.0374771480804388</v>
      </c>
    </row>
    <row r="250" spans="1:13" x14ac:dyDescent="0.25">
      <c r="A250" s="4" t="s">
        <v>251</v>
      </c>
      <c r="B250" s="4">
        <v>183</v>
      </c>
      <c r="C250">
        <f t="shared" si="21"/>
        <v>0.91500000000000004</v>
      </c>
      <c r="D250">
        <f t="shared" si="22"/>
        <v>340.1</v>
      </c>
      <c r="E250">
        <v>67.099999999999994</v>
      </c>
      <c r="G250">
        <f t="shared" si="23"/>
        <v>340.1</v>
      </c>
      <c r="H250" s="2">
        <f t="shared" si="24"/>
        <v>2.281056338028169</v>
      </c>
      <c r="J250" s="2">
        <f t="shared" si="25"/>
        <v>2.9403116730373418</v>
      </c>
      <c r="K250" s="3">
        <f t="shared" si="26"/>
        <v>1.6136607702946364</v>
      </c>
      <c r="M250">
        <f t="shared" si="27"/>
        <v>1.0362583790371727</v>
      </c>
    </row>
    <row r="251" spans="1:13" x14ac:dyDescent="0.25">
      <c r="A251" s="4" t="s">
        <v>252</v>
      </c>
      <c r="B251" s="4">
        <v>183</v>
      </c>
      <c r="C251">
        <f t="shared" si="21"/>
        <v>0.91500000000000004</v>
      </c>
      <c r="D251">
        <f t="shared" si="22"/>
        <v>340.1</v>
      </c>
      <c r="E251">
        <v>67.099999999999994</v>
      </c>
      <c r="G251">
        <f t="shared" si="23"/>
        <v>340.1</v>
      </c>
      <c r="H251" s="2">
        <f t="shared" si="24"/>
        <v>2.281056338028169</v>
      </c>
      <c r="J251" s="2">
        <f t="shared" si="25"/>
        <v>2.9403116730373418</v>
      </c>
      <c r="K251" s="3">
        <f t="shared" si="26"/>
        <v>1.6136607702946364</v>
      </c>
      <c r="M251">
        <f t="shared" si="27"/>
        <v>1.0362583790371727</v>
      </c>
    </row>
    <row r="252" spans="1:13" x14ac:dyDescent="0.25">
      <c r="A252" s="4" t="s">
        <v>253</v>
      </c>
      <c r="B252" s="4">
        <v>182</v>
      </c>
      <c r="C252">
        <f t="shared" si="21"/>
        <v>0.91</v>
      </c>
      <c r="D252">
        <f t="shared" si="22"/>
        <v>340.1</v>
      </c>
      <c r="E252">
        <v>67.099999999999994</v>
      </c>
      <c r="G252">
        <f t="shared" si="23"/>
        <v>340.1</v>
      </c>
      <c r="H252" s="2">
        <f t="shared" si="24"/>
        <v>2.2685915492957744</v>
      </c>
      <c r="J252" s="2">
        <f t="shared" si="25"/>
        <v>2.9403116730373418</v>
      </c>
      <c r="K252" s="3">
        <f t="shared" si="26"/>
        <v>1.6027018387653853</v>
      </c>
      <c r="M252">
        <f t="shared" si="27"/>
        <v>1.0362583790371727</v>
      </c>
    </row>
    <row r="253" spans="1:13" x14ac:dyDescent="0.25">
      <c r="A253" s="4" t="s">
        <v>254</v>
      </c>
      <c r="B253" s="4">
        <v>181</v>
      </c>
      <c r="C253">
        <f t="shared" si="21"/>
        <v>0.90500000000000003</v>
      </c>
      <c r="D253">
        <f t="shared" si="22"/>
        <v>340.1</v>
      </c>
      <c r="E253">
        <v>67.099999999999994</v>
      </c>
      <c r="G253">
        <f t="shared" si="23"/>
        <v>340.1</v>
      </c>
      <c r="H253" s="2">
        <f t="shared" si="24"/>
        <v>2.2561267605633804</v>
      </c>
      <c r="J253" s="2">
        <f t="shared" si="25"/>
        <v>2.9403116730373418</v>
      </c>
      <c r="K253" s="3">
        <f t="shared" si="26"/>
        <v>1.591682527143446</v>
      </c>
      <c r="M253">
        <f t="shared" si="27"/>
        <v>1.0362583790371727</v>
      </c>
    </row>
    <row r="254" spans="1:13" x14ac:dyDescent="0.25">
      <c r="A254" s="4" t="s">
        <v>255</v>
      </c>
      <c r="B254" s="4">
        <v>181</v>
      </c>
      <c r="C254">
        <f t="shared" si="21"/>
        <v>0.90500000000000003</v>
      </c>
      <c r="D254">
        <f t="shared" si="22"/>
        <v>340.1</v>
      </c>
      <c r="E254">
        <v>67.099999999999994</v>
      </c>
      <c r="G254">
        <f t="shared" si="23"/>
        <v>340.1</v>
      </c>
      <c r="H254" s="2">
        <f t="shared" si="24"/>
        <v>2.2561267605633804</v>
      </c>
      <c r="J254" s="2">
        <f t="shared" si="25"/>
        <v>2.9403116730373418</v>
      </c>
      <c r="K254" s="3">
        <f t="shared" si="26"/>
        <v>1.591682527143446</v>
      </c>
      <c r="M254">
        <f t="shared" si="27"/>
        <v>1.0362583790371727</v>
      </c>
    </row>
    <row r="255" spans="1:13" x14ac:dyDescent="0.25">
      <c r="A255" s="4" t="s">
        <v>256</v>
      </c>
      <c r="B255" s="4">
        <v>182</v>
      </c>
      <c r="C255">
        <f t="shared" si="21"/>
        <v>0.91</v>
      </c>
      <c r="D255">
        <f t="shared" si="22"/>
        <v>340.1</v>
      </c>
      <c r="E255">
        <v>67.099999999999994</v>
      </c>
      <c r="G255">
        <f t="shared" si="23"/>
        <v>340.1</v>
      </c>
      <c r="H255" s="2">
        <f t="shared" si="24"/>
        <v>2.2685915492957744</v>
      </c>
      <c r="J255" s="2">
        <f t="shared" si="25"/>
        <v>2.9403116730373418</v>
      </c>
      <c r="K255" s="3">
        <f t="shared" si="26"/>
        <v>1.6027018387653853</v>
      </c>
      <c r="M255">
        <f t="shared" si="27"/>
        <v>1.0362583790371727</v>
      </c>
    </row>
    <row r="256" spans="1:13" x14ac:dyDescent="0.25">
      <c r="A256" s="4" t="s">
        <v>257</v>
      </c>
      <c r="B256" s="4">
        <v>182</v>
      </c>
      <c r="C256">
        <f t="shared" si="21"/>
        <v>0.91</v>
      </c>
      <c r="D256">
        <f t="shared" si="22"/>
        <v>339.9</v>
      </c>
      <c r="E256">
        <v>66.900000000000006</v>
      </c>
      <c r="G256">
        <f t="shared" si="23"/>
        <v>339.9</v>
      </c>
      <c r="H256" s="2">
        <f t="shared" si="24"/>
        <v>2.2685915492957744</v>
      </c>
      <c r="J256" s="2">
        <f t="shared" si="25"/>
        <v>2.9420417769932334</v>
      </c>
      <c r="K256" s="3">
        <f t="shared" si="26"/>
        <v>1.6032900740764648</v>
      </c>
      <c r="M256">
        <f t="shared" si="27"/>
        <v>1.0356489945155394</v>
      </c>
    </row>
    <row r="257" spans="1:13" x14ac:dyDescent="0.25">
      <c r="A257" s="4" t="s">
        <v>258</v>
      </c>
      <c r="B257" s="4">
        <v>181</v>
      </c>
      <c r="C257">
        <f t="shared" si="21"/>
        <v>0.90500000000000003</v>
      </c>
      <c r="D257">
        <f t="shared" si="22"/>
        <v>339.9</v>
      </c>
      <c r="E257">
        <v>66.900000000000006</v>
      </c>
      <c r="G257">
        <f t="shared" si="23"/>
        <v>339.9</v>
      </c>
      <c r="H257" s="2">
        <f t="shared" si="24"/>
        <v>2.2561267605633804</v>
      </c>
      <c r="J257" s="2">
        <f t="shared" si="25"/>
        <v>2.9420417769932334</v>
      </c>
      <c r="K257" s="3">
        <f t="shared" si="26"/>
        <v>1.5922707624545258</v>
      </c>
      <c r="M257">
        <f t="shared" si="27"/>
        <v>1.0356489945155394</v>
      </c>
    </row>
    <row r="258" spans="1:13" x14ac:dyDescent="0.25">
      <c r="A258" s="4" t="s">
        <v>259</v>
      </c>
      <c r="B258" s="4">
        <v>178</v>
      </c>
      <c r="C258">
        <f t="shared" si="21"/>
        <v>0.89</v>
      </c>
      <c r="D258">
        <f t="shared" si="22"/>
        <v>339.9</v>
      </c>
      <c r="E258">
        <v>66.900000000000006</v>
      </c>
      <c r="G258">
        <f t="shared" si="23"/>
        <v>339.9</v>
      </c>
      <c r="H258" s="2">
        <f t="shared" si="24"/>
        <v>2.2187323943661972</v>
      </c>
      <c r="J258" s="2">
        <f t="shared" si="25"/>
        <v>2.9420417769932334</v>
      </c>
      <c r="K258" s="3">
        <f t="shared" si="26"/>
        <v>1.5588438005070444</v>
      </c>
      <c r="M258">
        <f t="shared" si="27"/>
        <v>1.0356489945155394</v>
      </c>
    </row>
    <row r="259" spans="1:13" x14ac:dyDescent="0.25">
      <c r="A259" s="4" t="s">
        <v>260</v>
      </c>
      <c r="B259" s="4">
        <v>179</v>
      </c>
      <c r="C259">
        <f t="shared" si="21"/>
        <v>0.89500000000000002</v>
      </c>
      <c r="D259">
        <f t="shared" si="22"/>
        <v>339.8</v>
      </c>
      <c r="E259">
        <v>66.8</v>
      </c>
      <c r="G259">
        <f t="shared" si="23"/>
        <v>339.8</v>
      </c>
      <c r="H259" s="2">
        <f t="shared" si="24"/>
        <v>2.2311971830985913</v>
      </c>
      <c r="J259" s="2">
        <f t="shared" si="25"/>
        <v>2.9429075927015891</v>
      </c>
      <c r="K259" s="3">
        <f t="shared" si="26"/>
        <v>1.5703425590686226</v>
      </c>
      <c r="M259">
        <f t="shared" si="27"/>
        <v>1.0353443022547228</v>
      </c>
    </row>
    <row r="260" spans="1:13" x14ac:dyDescent="0.25">
      <c r="A260" s="4" t="s">
        <v>261</v>
      </c>
      <c r="B260" s="4">
        <v>178</v>
      </c>
      <c r="C260">
        <f t="shared" si="21"/>
        <v>0.89</v>
      </c>
      <c r="D260">
        <f t="shared" si="22"/>
        <v>339.8</v>
      </c>
      <c r="E260">
        <v>66.8</v>
      </c>
      <c r="G260">
        <f t="shared" si="23"/>
        <v>339.8</v>
      </c>
      <c r="H260" s="2">
        <f t="shared" si="24"/>
        <v>2.2187323943661972</v>
      </c>
      <c r="J260" s="2">
        <f t="shared" si="25"/>
        <v>2.9429075927015891</v>
      </c>
      <c r="K260" s="3">
        <f t="shared" si="26"/>
        <v>1.5591380479712833</v>
      </c>
      <c r="M260">
        <f t="shared" si="27"/>
        <v>1.0353443022547228</v>
      </c>
    </row>
    <row r="261" spans="1:13" x14ac:dyDescent="0.25">
      <c r="A261" s="4" t="s">
        <v>262</v>
      </c>
      <c r="B261" s="4">
        <v>178</v>
      </c>
      <c r="C261">
        <f t="shared" si="21"/>
        <v>0.89</v>
      </c>
      <c r="D261">
        <f t="shared" si="22"/>
        <v>339.8</v>
      </c>
      <c r="E261">
        <v>66.8</v>
      </c>
      <c r="G261">
        <f t="shared" si="23"/>
        <v>339.8</v>
      </c>
      <c r="H261" s="2">
        <f t="shared" si="24"/>
        <v>2.2187323943661972</v>
      </c>
      <c r="J261" s="2">
        <f t="shared" si="25"/>
        <v>2.9429075927015891</v>
      </c>
      <c r="K261" s="3">
        <f t="shared" si="26"/>
        <v>1.5591380479712833</v>
      </c>
      <c r="M261">
        <f t="shared" si="27"/>
        <v>1.0353443022547228</v>
      </c>
    </row>
    <row r="262" spans="1:13" x14ac:dyDescent="0.25">
      <c r="A262" s="4" t="s">
        <v>263</v>
      </c>
      <c r="B262" s="4">
        <v>178</v>
      </c>
      <c r="C262">
        <f t="shared" si="21"/>
        <v>0.89</v>
      </c>
      <c r="D262">
        <f t="shared" si="22"/>
        <v>339.5</v>
      </c>
      <c r="E262">
        <v>66.5</v>
      </c>
      <c r="G262">
        <f t="shared" si="23"/>
        <v>339.5</v>
      </c>
      <c r="H262" s="2">
        <f t="shared" si="24"/>
        <v>2.2187323943661972</v>
      </c>
      <c r="J262" s="2">
        <f t="shared" si="25"/>
        <v>2.9455081001472756</v>
      </c>
      <c r="K262" s="3">
        <f t="shared" si="26"/>
        <v>1.5600213102103639</v>
      </c>
      <c r="M262">
        <f t="shared" si="27"/>
        <v>1.034430225472273</v>
      </c>
    </row>
    <row r="263" spans="1:13" x14ac:dyDescent="0.25">
      <c r="A263" s="4" t="s">
        <v>264</v>
      </c>
      <c r="B263" s="4">
        <v>179</v>
      </c>
      <c r="C263">
        <f t="shared" si="21"/>
        <v>0.89500000000000002</v>
      </c>
      <c r="D263">
        <f t="shared" si="22"/>
        <v>339.5</v>
      </c>
      <c r="E263">
        <v>66.5</v>
      </c>
      <c r="G263">
        <f t="shared" si="23"/>
        <v>339.5</v>
      </c>
      <c r="H263" s="2">
        <f t="shared" si="24"/>
        <v>2.2311971830985913</v>
      </c>
      <c r="J263" s="2">
        <f t="shared" si="25"/>
        <v>2.9455081001472756</v>
      </c>
      <c r="K263" s="3">
        <f t="shared" si="26"/>
        <v>1.5712258213077035</v>
      </c>
      <c r="M263">
        <f t="shared" si="27"/>
        <v>1.034430225472273</v>
      </c>
    </row>
    <row r="264" spans="1:13" x14ac:dyDescent="0.25">
      <c r="A264" s="4" t="s">
        <v>265</v>
      </c>
      <c r="B264" s="4">
        <v>178</v>
      </c>
      <c r="C264">
        <f t="shared" si="21"/>
        <v>0.89</v>
      </c>
      <c r="D264">
        <f t="shared" si="22"/>
        <v>339.5</v>
      </c>
      <c r="E264">
        <v>66.5</v>
      </c>
      <c r="G264">
        <f t="shared" si="23"/>
        <v>339.5</v>
      </c>
      <c r="H264" s="2">
        <f t="shared" si="24"/>
        <v>2.2187323943661972</v>
      </c>
      <c r="J264" s="2">
        <f t="shared" si="25"/>
        <v>2.9455081001472756</v>
      </c>
      <c r="K264" s="3">
        <f t="shared" si="26"/>
        <v>1.5600213102103639</v>
      </c>
      <c r="M264">
        <f t="shared" si="27"/>
        <v>1.034430225472273</v>
      </c>
    </row>
    <row r="265" spans="1:13" x14ac:dyDescent="0.25">
      <c r="A265" s="4" t="s">
        <v>266</v>
      </c>
      <c r="B265" s="4">
        <v>177</v>
      </c>
      <c r="C265">
        <f t="shared" si="21"/>
        <v>0.88500000000000001</v>
      </c>
      <c r="D265">
        <f t="shared" si="22"/>
        <v>339.5</v>
      </c>
      <c r="E265">
        <v>66.5</v>
      </c>
      <c r="G265">
        <f t="shared" si="23"/>
        <v>339.5</v>
      </c>
      <c r="H265" s="2">
        <f t="shared" si="24"/>
        <v>2.2062676056338031</v>
      </c>
      <c r="J265" s="2">
        <f t="shared" si="25"/>
        <v>2.9455081001472756</v>
      </c>
      <c r="K265" s="3">
        <f t="shared" si="26"/>
        <v>1.5487536747738522</v>
      </c>
      <c r="M265">
        <f t="shared" si="27"/>
        <v>1.034430225472273</v>
      </c>
    </row>
    <row r="266" spans="1:13" x14ac:dyDescent="0.25">
      <c r="A266" s="4" t="s">
        <v>267</v>
      </c>
      <c r="B266" s="4">
        <v>177</v>
      </c>
      <c r="C266">
        <f t="shared" si="21"/>
        <v>0.88500000000000001</v>
      </c>
      <c r="D266">
        <f t="shared" si="22"/>
        <v>339.3</v>
      </c>
      <c r="E266">
        <v>66.3</v>
      </c>
      <c r="G266">
        <f t="shared" si="23"/>
        <v>339.3</v>
      </c>
      <c r="H266" s="2">
        <f t="shared" si="24"/>
        <v>2.2062676056338031</v>
      </c>
      <c r="J266" s="2">
        <f t="shared" si="25"/>
        <v>2.9472443265546713</v>
      </c>
      <c r="K266" s="3">
        <f t="shared" si="26"/>
        <v>1.5493429499824185</v>
      </c>
      <c r="M266">
        <f t="shared" si="27"/>
        <v>1.03382084095064</v>
      </c>
    </row>
    <row r="267" spans="1:13" x14ac:dyDescent="0.25">
      <c r="A267" s="4" t="s">
        <v>268</v>
      </c>
      <c r="B267" s="4">
        <v>178</v>
      </c>
      <c r="C267">
        <f t="shared" ref="C267:C330" si="28">B267/200</f>
        <v>0.89</v>
      </c>
      <c r="D267">
        <f t="shared" ref="D267:D330" si="29">273+E267</f>
        <v>339.3</v>
      </c>
      <c r="E267">
        <v>66.3</v>
      </c>
      <c r="G267">
        <f t="shared" ref="G267:G330" si="30">D267</f>
        <v>339.3</v>
      </c>
      <c r="H267" s="2">
        <f t="shared" ref="H267:H330" si="31">1.77*B267/142</f>
        <v>2.2187323943661972</v>
      </c>
      <c r="J267" s="2">
        <f t="shared" ref="J267:J330" si="32">1000/G267</f>
        <v>2.9472443265546713</v>
      </c>
      <c r="K267" s="3">
        <f t="shared" ref="K267:K330" si="33">LN(H267*H267/M267)</f>
        <v>1.5606105854189303</v>
      </c>
      <c r="M267">
        <f t="shared" ref="M267:M330" si="34">G267/328.2</f>
        <v>1.03382084095064</v>
      </c>
    </row>
    <row r="268" spans="1:13" x14ac:dyDescent="0.25">
      <c r="A268" s="4" t="s">
        <v>269</v>
      </c>
      <c r="B268" s="4">
        <v>177</v>
      </c>
      <c r="C268">
        <f t="shared" si="28"/>
        <v>0.88500000000000001</v>
      </c>
      <c r="D268">
        <f t="shared" si="29"/>
        <v>339.3</v>
      </c>
      <c r="E268">
        <v>66.3</v>
      </c>
      <c r="G268">
        <f t="shared" si="30"/>
        <v>339.3</v>
      </c>
      <c r="H268" s="2">
        <f t="shared" si="31"/>
        <v>2.2062676056338031</v>
      </c>
      <c r="J268" s="2">
        <f t="shared" si="32"/>
        <v>2.9472443265546713</v>
      </c>
      <c r="K268" s="3">
        <f t="shared" si="33"/>
        <v>1.5493429499824185</v>
      </c>
      <c r="M268">
        <f t="shared" si="34"/>
        <v>1.03382084095064</v>
      </c>
    </row>
    <row r="269" spans="1:13" x14ac:dyDescent="0.25">
      <c r="A269" s="4" t="s">
        <v>270</v>
      </c>
      <c r="B269" s="4">
        <v>176</v>
      </c>
      <c r="C269">
        <f t="shared" si="28"/>
        <v>0.88</v>
      </c>
      <c r="D269">
        <f t="shared" si="29"/>
        <v>339</v>
      </c>
      <c r="E269">
        <v>66</v>
      </c>
      <c r="G269">
        <f t="shared" si="30"/>
        <v>339</v>
      </c>
      <c r="H269" s="2">
        <f t="shared" si="31"/>
        <v>2.1938028169014081</v>
      </c>
      <c r="J269" s="2">
        <f t="shared" si="32"/>
        <v>2.9498525073746311</v>
      </c>
      <c r="K269" s="3">
        <f t="shared" si="33"/>
        <v>1.5388960393207975</v>
      </c>
      <c r="M269">
        <f t="shared" si="34"/>
        <v>1.0329067641681902</v>
      </c>
    </row>
    <row r="270" spans="1:13" x14ac:dyDescent="0.25">
      <c r="A270" s="4" t="s">
        <v>271</v>
      </c>
      <c r="B270" s="4">
        <v>176</v>
      </c>
      <c r="C270">
        <f t="shared" si="28"/>
        <v>0.88</v>
      </c>
      <c r="D270">
        <f t="shared" si="29"/>
        <v>339</v>
      </c>
      <c r="E270">
        <v>66</v>
      </c>
      <c r="G270">
        <f t="shared" si="30"/>
        <v>339</v>
      </c>
      <c r="H270" s="2">
        <f t="shared" si="31"/>
        <v>2.1938028169014081</v>
      </c>
      <c r="J270" s="2">
        <f t="shared" si="32"/>
        <v>2.9498525073746311</v>
      </c>
      <c r="K270" s="3">
        <f t="shared" si="33"/>
        <v>1.5388960393207975</v>
      </c>
      <c r="M270">
        <f t="shared" si="34"/>
        <v>1.0329067641681902</v>
      </c>
    </row>
    <row r="271" spans="1:13" x14ac:dyDescent="0.25">
      <c r="A271" s="4" t="s">
        <v>272</v>
      </c>
      <c r="B271" s="4">
        <v>176</v>
      </c>
      <c r="C271">
        <f t="shared" si="28"/>
        <v>0.88</v>
      </c>
      <c r="D271">
        <f t="shared" si="29"/>
        <v>339</v>
      </c>
      <c r="E271">
        <v>66</v>
      </c>
      <c r="G271">
        <f t="shared" si="30"/>
        <v>339</v>
      </c>
      <c r="H271" s="2">
        <f t="shared" si="31"/>
        <v>2.1938028169014081</v>
      </c>
      <c r="J271" s="2">
        <f t="shared" si="32"/>
        <v>2.9498525073746311</v>
      </c>
      <c r="K271" s="3">
        <f t="shared" si="33"/>
        <v>1.5388960393207975</v>
      </c>
      <c r="M271">
        <f t="shared" si="34"/>
        <v>1.0329067641681902</v>
      </c>
    </row>
    <row r="272" spans="1:13" x14ac:dyDescent="0.25">
      <c r="A272" s="4" t="s">
        <v>273</v>
      </c>
      <c r="B272" s="4">
        <v>175</v>
      </c>
      <c r="C272">
        <f t="shared" si="28"/>
        <v>0.875</v>
      </c>
      <c r="D272">
        <f t="shared" si="29"/>
        <v>338.9</v>
      </c>
      <c r="E272">
        <v>65.900000000000006</v>
      </c>
      <c r="G272">
        <f t="shared" si="30"/>
        <v>338.9</v>
      </c>
      <c r="H272" s="2">
        <f t="shared" si="31"/>
        <v>2.181338028169014</v>
      </c>
      <c r="J272" s="2">
        <f t="shared" si="32"/>
        <v>2.9507229271171438</v>
      </c>
      <c r="K272" s="3">
        <f t="shared" si="33"/>
        <v>1.5277950258589672</v>
      </c>
      <c r="M272">
        <f t="shared" si="34"/>
        <v>1.0326020719073734</v>
      </c>
    </row>
    <row r="273" spans="1:13" x14ac:dyDescent="0.25">
      <c r="A273" s="4" t="s">
        <v>274</v>
      </c>
      <c r="B273" s="4">
        <v>175</v>
      </c>
      <c r="C273">
        <f t="shared" si="28"/>
        <v>0.875</v>
      </c>
      <c r="D273">
        <f t="shared" si="29"/>
        <v>338.9</v>
      </c>
      <c r="E273">
        <v>65.900000000000006</v>
      </c>
      <c r="G273">
        <f t="shared" si="30"/>
        <v>338.9</v>
      </c>
      <c r="H273" s="2">
        <f t="shared" si="31"/>
        <v>2.181338028169014</v>
      </c>
      <c r="J273" s="2">
        <f t="shared" si="32"/>
        <v>2.9507229271171438</v>
      </c>
      <c r="K273" s="3">
        <f t="shared" si="33"/>
        <v>1.5277950258589672</v>
      </c>
      <c r="M273">
        <f t="shared" si="34"/>
        <v>1.0326020719073734</v>
      </c>
    </row>
    <row r="274" spans="1:13" x14ac:dyDescent="0.25">
      <c r="A274" s="4" t="s">
        <v>275</v>
      </c>
      <c r="B274" s="4">
        <v>176</v>
      </c>
      <c r="C274">
        <f t="shared" si="28"/>
        <v>0.88</v>
      </c>
      <c r="D274">
        <f t="shared" si="29"/>
        <v>338.9</v>
      </c>
      <c r="E274">
        <v>65.900000000000006</v>
      </c>
      <c r="G274">
        <f t="shared" si="30"/>
        <v>338.9</v>
      </c>
      <c r="H274" s="2">
        <f t="shared" si="31"/>
        <v>2.1938028169014081</v>
      </c>
      <c r="J274" s="2">
        <f t="shared" si="32"/>
        <v>2.9507229271171438</v>
      </c>
      <c r="K274" s="3">
        <f t="shared" si="33"/>
        <v>1.5391910680882424</v>
      </c>
      <c r="M274">
        <f t="shared" si="34"/>
        <v>1.0326020719073734</v>
      </c>
    </row>
    <row r="275" spans="1:13" x14ac:dyDescent="0.25">
      <c r="A275" s="4" t="s">
        <v>276</v>
      </c>
      <c r="B275" s="4">
        <v>175</v>
      </c>
      <c r="C275">
        <f t="shared" si="28"/>
        <v>0.875</v>
      </c>
      <c r="D275">
        <f t="shared" si="29"/>
        <v>338.7</v>
      </c>
      <c r="E275">
        <v>65.7</v>
      </c>
      <c r="G275">
        <f t="shared" si="30"/>
        <v>338.7</v>
      </c>
      <c r="H275" s="2">
        <f t="shared" si="31"/>
        <v>2.181338028169014</v>
      </c>
      <c r="J275" s="2">
        <f t="shared" si="32"/>
        <v>2.9524653085326249</v>
      </c>
      <c r="K275" s="3">
        <f t="shared" si="33"/>
        <v>1.5283853446482467</v>
      </c>
      <c r="M275">
        <f t="shared" si="34"/>
        <v>1.0319926873857403</v>
      </c>
    </row>
    <row r="276" spans="1:13" x14ac:dyDescent="0.25">
      <c r="A276" s="4" t="s">
        <v>277</v>
      </c>
      <c r="B276" s="4">
        <v>174</v>
      </c>
      <c r="C276">
        <f t="shared" si="28"/>
        <v>0.87</v>
      </c>
      <c r="D276">
        <f t="shared" si="29"/>
        <v>338.7</v>
      </c>
      <c r="E276">
        <v>65.7</v>
      </c>
      <c r="G276">
        <f t="shared" si="30"/>
        <v>338.7</v>
      </c>
      <c r="H276" s="2">
        <f t="shared" si="31"/>
        <v>2.1688732394366199</v>
      </c>
      <c r="J276" s="2">
        <f t="shared" si="32"/>
        <v>2.9524653085326249</v>
      </c>
      <c r="K276" s="3">
        <f t="shared" si="33"/>
        <v>1.5169239952302769</v>
      </c>
      <c r="M276">
        <f t="shared" si="34"/>
        <v>1.0319926873857403</v>
      </c>
    </row>
    <row r="277" spans="1:13" x14ac:dyDescent="0.25">
      <c r="A277" s="4" t="s">
        <v>278</v>
      </c>
      <c r="B277" s="4">
        <v>175</v>
      </c>
      <c r="C277">
        <f t="shared" si="28"/>
        <v>0.875</v>
      </c>
      <c r="D277">
        <f t="shared" si="29"/>
        <v>338.7</v>
      </c>
      <c r="E277">
        <v>65.7</v>
      </c>
      <c r="G277">
        <f t="shared" si="30"/>
        <v>338.7</v>
      </c>
      <c r="H277" s="2">
        <f t="shared" si="31"/>
        <v>2.181338028169014</v>
      </c>
      <c r="J277" s="2">
        <f t="shared" si="32"/>
        <v>2.9524653085326249</v>
      </c>
      <c r="K277" s="3">
        <f t="shared" si="33"/>
        <v>1.5283853446482467</v>
      </c>
      <c r="M277">
        <f t="shared" si="34"/>
        <v>1.0319926873857403</v>
      </c>
    </row>
    <row r="278" spans="1:13" x14ac:dyDescent="0.25">
      <c r="A278" s="4" t="s">
        <v>279</v>
      </c>
      <c r="B278" s="4">
        <v>175</v>
      </c>
      <c r="C278">
        <f t="shared" si="28"/>
        <v>0.875</v>
      </c>
      <c r="D278">
        <f t="shared" si="29"/>
        <v>338.4</v>
      </c>
      <c r="E278">
        <v>65.400000000000006</v>
      </c>
      <c r="G278">
        <f t="shared" si="30"/>
        <v>338.4</v>
      </c>
      <c r="H278" s="2">
        <f t="shared" si="31"/>
        <v>2.181338028169014</v>
      </c>
      <c r="J278" s="2">
        <f t="shared" si="32"/>
        <v>2.9550827423167849</v>
      </c>
      <c r="K278" s="3">
        <f t="shared" si="33"/>
        <v>1.5292714767399047</v>
      </c>
      <c r="M278">
        <f t="shared" si="34"/>
        <v>1.0310786106032905</v>
      </c>
    </row>
    <row r="279" spans="1:13" x14ac:dyDescent="0.25">
      <c r="A279" s="4" t="s">
        <v>280</v>
      </c>
      <c r="B279" s="4">
        <v>174</v>
      </c>
      <c r="C279">
        <f t="shared" si="28"/>
        <v>0.87</v>
      </c>
      <c r="D279">
        <f t="shared" si="29"/>
        <v>338.4</v>
      </c>
      <c r="E279">
        <v>65.400000000000006</v>
      </c>
      <c r="G279">
        <f t="shared" si="30"/>
        <v>338.4</v>
      </c>
      <c r="H279" s="2">
        <f t="shared" si="31"/>
        <v>2.1688732394366199</v>
      </c>
      <c r="J279" s="2">
        <f t="shared" si="32"/>
        <v>2.9550827423167849</v>
      </c>
      <c r="K279" s="3">
        <f t="shared" si="33"/>
        <v>1.5178101273219349</v>
      </c>
      <c r="M279">
        <f t="shared" si="34"/>
        <v>1.0310786106032905</v>
      </c>
    </row>
    <row r="280" spans="1:13" x14ac:dyDescent="0.25">
      <c r="A280" s="4" t="s">
        <v>281</v>
      </c>
      <c r="B280" s="4">
        <v>172</v>
      </c>
      <c r="C280">
        <f t="shared" si="28"/>
        <v>0.86</v>
      </c>
      <c r="D280">
        <f t="shared" si="29"/>
        <v>338.4</v>
      </c>
      <c r="E280">
        <v>65.400000000000006</v>
      </c>
      <c r="G280">
        <f t="shared" si="30"/>
        <v>338.4</v>
      </c>
      <c r="H280" s="2">
        <f t="shared" si="31"/>
        <v>2.1439436619718308</v>
      </c>
      <c r="J280" s="2">
        <f t="shared" si="32"/>
        <v>2.9550827423167849</v>
      </c>
      <c r="K280" s="3">
        <f t="shared" si="33"/>
        <v>1.4946884825197824</v>
      </c>
      <c r="M280">
        <f t="shared" si="34"/>
        <v>1.0310786106032905</v>
      </c>
    </row>
    <row r="281" spans="1:13" x14ac:dyDescent="0.25">
      <c r="A281" s="4" t="s">
        <v>282</v>
      </c>
      <c r="B281" s="4">
        <v>174</v>
      </c>
      <c r="C281">
        <f t="shared" si="28"/>
        <v>0.87</v>
      </c>
      <c r="D281">
        <f t="shared" si="29"/>
        <v>338.4</v>
      </c>
      <c r="E281">
        <v>65.400000000000006</v>
      </c>
      <c r="G281">
        <f t="shared" si="30"/>
        <v>338.4</v>
      </c>
      <c r="H281" s="2">
        <f t="shared" si="31"/>
        <v>2.1688732394366199</v>
      </c>
      <c r="J281" s="2">
        <f t="shared" si="32"/>
        <v>2.9550827423167849</v>
      </c>
      <c r="K281" s="3">
        <f t="shared" si="33"/>
        <v>1.5178101273219349</v>
      </c>
      <c r="M281">
        <f t="shared" si="34"/>
        <v>1.0310786106032905</v>
      </c>
    </row>
    <row r="282" spans="1:13" x14ac:dyDescent="0.25">
      <c r="A282" s="4" t="s">
        <v>283</v>
      </c>
      <c r="B282" s="4">
        <v>173</v>
      </c>
      <c r="C282">
        <f t="shared" si="28"/>
        <v>0.86499999999999999</v>
      </c>
      <c r="D282">
        <f t="shared" si="29"/>
        <v>338.1</v>
      </c>
      <c r="E282">
        <v>65.099999999999994</v>
      </c>
      <c r="G282">
        <f t="shared" si="30"/>
        <v>338.1</v>
      </c>
      <c r="H282" s="2">
        <f t="shared" si="31"/>
        <v>2.1564084507042254</v>
      </c>
      <c r="J282" s="2">
        <f t="shared" si="32"/>
        <v>2.9577048210588583</v>
      </c>
      <c r="K282" s="3">
        <f t="shared" si="33"/>
        <v>1.5071696359066622</v>
      </c>
      <c r="M282">
        <f t="shared" si="34"/>
        <v>1.0301645338208412</v>
      </c>
    </row>
    <row r="283" spans="1:13" x14ac:dyDescent="0.25">
      <c r="A283" s="4" t="s">
        <v>284</v>
      </c>
      <c r="B283" s="4">
        <v>173</v>
      </c>
      <c r="C283">
        <f t="shared" si="28"/>
        <v>0.86499999999999999</v>
      </c>
      <c r="D283">
        <f t="shared" si="29"/>
        <v>338.1</v>
      </c>
      <c r="E283">
        <v>65.099999999999994</v>
      </c>
      <c r="G283">
        <f t="shared" si="30"/>
        <v>338.1</v>
      </c>
      <c r="H283" s="2">
        <f t="shared" si="31"/>
        <v>2.1564084507042254</v>
      </c>
      <c r="J283" s="2">
        <f t="shared" si="32"/>
        <v>2.9577048210588583</v>
      </c>
      <c r="K283" s="3">
        <f t="shared" si="33"/>
        <v>1.5071696359066622</v>
      </c>
      <c r="M283">
        <f t="shared" si="34"/>
        <v>1.0301645338208412</v>
      </c>
    </row>
    <row r="284" spans="1:13" x14ac:dyDescent="0.25">
      <c r="A284" s="4" t="s">
        <v>285</v>
      </c>
      <c r="B284" s="4">
        <v>173</v>
      </c>
      <c r="C284">
        <f t="shared" si="28"/>
        <v>0.86499999999999999</v>
      </c>
      <c r="D284">
        <f t="shared" si="29"/>
        <v>338.1</v>
      </c>
      <c r="E284">
        <v>65.099999999999994</v>
      </c>
      <c r="G284">
        <f t="shared" si="30"/>
        <v>338.1</v>
      </c>
      <c r="H284" s="2">
        <f t="shared" si="31"/>
        <v>2.1564084507042254</v>
      </c>
      <c r="J284" s="2">
        <f t="shared" si="32"/>
        <v>2.9577048210588583</v>
      </c>
      <c r="K284" s="3">
        <f t="shared" si="33"/>
        <v>1.5071696359066622</v>
      </c>
      <c r="M284">
        <f t="shared" si="34"/>
        <v>1.0301645338208412</v>
      </c>
    </row>
    <row r="285" spans="1:13" x14ac:dyDescent="0.25">
      <c r="A285" s="4" t="s">
        <v>286</v>
      </c>
      <c r="B285" s="4">
        <v>172</v>
      </c>
      <c r="C285">
        <f t="shared" si="28"/>
        <v>0.86</v>
      </c>
      <c r="D285">
        <f t="shared" si="29"/>
        <v>338</v>
      </c>
      <c r="E285">
        <v>65</v>
      </c>
      <c r="G285">
        <f t="shared" si="30"/>
        <v>338</v>
      </c>
      <c r="H285" s="2">
        <f t="shared" si="31"/>
        <v>2.1439436619718308</v>
      </c>
      <c r="J285" s="2">
        <f t="shared" si="32"/>
        <v>2.9585798816568047</v>
      </c>
      <c r="K285" s="3">
        <f t="shared" si="33"/>
        <v>1.4958712147688318</v>
      </c>
      <c r="M285">
        <f t="shared" si="34"/>
        <v>1.0298598415600244</v>
      </c>
    </row>
    <row r="286" spans="1:13" x14ac:dyDescent="0.25">
      <c r="A286" s="4" t="s">
        <v>287</v>
      </c>
      <c r="B286" s="4">
        <v>172</v>
      </c>
      <c r="C286">
        <f t="shared" si="28"/>
        <v>0.86</v>
      </c>
      <c r="D286">
        <f t="shared" si="29"/>
        <v>338</v>
      </c>
      <c r="E286">
        <v>65</v>
      </c>
      <c r="G286">
        <f t="shared" si="30"/>
        <v>338</v>
      </c>
      <c r="H286" s="2">
        <f t="shared" si="31"/>
        <v>2.1439436619718308</v>
      </c>
      <c r="J286" s="2">
        <f t="shared" si="32"/>
        <v>2.9585798816568047</v>
      </c>
      <c r="K286" s="3">
        <f t="shared" si="33"/>
        <v>1.4958712147688318</v>
      </c>
      <c r="M286">
        <f t="shared" si="34"/>
        <v>1.0298598415600244</v>
      </c>
    </row>
    <row r="287" spans="1:13" x14ac:dyDescent="0.25">
      <c r="A287" s="4" t="s">
        <v>288</v>
      </c>
      <c r="B287" s="4">
        <v>172</v>
      </c>
      <c r="C287">
        <f t="shared" si="28"/>
        <v>0.86</v>
      </c>
      <c r="D287">
        <f t="shared" si="29"/>
        <v>338</v>
      </c>
      <c r="E287">
        <v>65</v>
      </c>
      <c r="G287">
        <f t="shared" si="30"/>
        <v>338</v>
      </c>
      <c r="H287" s="2">
        <f t="shared" si="31"/>
        <v>2.1439436619718308</v>
      </c>
      <c r="J287" s="2">
        <f t="shared" si="32"/>
        <v>2.9585798816568047</v>
      </c>
      <c r="K287" s="3">
        <f t="shared" si="33"/>
        <v>1.4958712147688318</v>
      </c>
      <c r="M287">
        <f t="shared" si="34"/>
        <v>1.0298598415600244</v>
      </c>
    </row>
    <row r="288" spans="1:13" x14ac:dyDescent="0.25">
      <c r="A288" s="4" t="s">
        <v>289</v>
      </c>
      <c r="B288" s="4">
        <v>172</v>
      </c>
      <c r="C288">
        <f t="shared" si="28"/>
        <v>0.86</v>
      </c>
      <c r="D288">
        <f t="shared" si="29"/>
        <v>337.8</v>
      </c>
      <c r="E288">
        <v>64.8</v>
      </c>
      <c r="G288">
        <f t="shared" si="30"/>
        <v>337.8</v>
      </c>
      <c r="H288" s="2">
        <f t="shared" si="31"/>
        <v>2.1439436619718308</v>
      </c>
      <c r="J288" s="2">
        <f t="shared" si="32"/>
        <v>2.9603315571343991</v>
      </c>
      <c r="K288" s="3">
        <f t="shared" si="33"/>
        <v>1.4964631058781508</v>
      </c>
      <c r="M288">
        <f t="shared" si="34"/>
        <v>1.0292504570383914</v>
      </c>
    </row>
    <row r="289" spans="1:13" x14ac:dyDescent="0.25">
      <c r="A289" s="4" t="s">
        <v>290</v>
      </c>
      <c r="B289" s="4">
        <v>172</v>
      </c>
      <c r="C289">
        <f t="shared" si="28"/>
        <v>0.86</v>
      </c>
      <c r="D289">
        <f t="shared" si="29"/>
        <v>337.8</v>
      </c>
      <c r="E289">
        <v>64.8</v>
      </c>
      <c r="G289">
        <f t="shared" si="30"/>
        <v>337.8</v>
      </c>
      <c r="H289" s="2">
        <f t="shared" si="31"/>
        <v>2.1439436619718308</v>
      </c>
      <c r="J289" s="2">
        <f t="shared" si="32"/>
        <v>2.9603315571343991</v>
      </c>
      <c r="K289" s="3">
        <f t="shared" si="33"/>
        <v>1.4964631058781508</v>
      </c>
      <c r="M289">
        <f t="shared" si="34"/>
        <v>1.0292504570383914</v>
      </c>
    </row>
    <row r="290" spans="1:13" x14ac:dyDescent="0.25">
      <c r="A290" s="4" t="s">
        <v>291</v>
      </c>
      <c r="B290" s="4">
        <v>171</v>
      </c>
      <c r="C290">
        <f t="shared" si="28"/>
        <v>0.85499999999999998</v>
      </c>
      <c r="D290">
        <f t="shared" si="29"/>
        <v>337.8</v>
      </c>
      <c r="E290">
        <v>64.8</v>
      </c>
      <c r="G290">
        <f t="shared" si="30"/>
        <v>337.8</v>
      </c>
      <c r="H290" s="2">
        <f t="shared" si="31"/>
        <v>2.1314788732394367</v>
      </c>
      <c r="J290" s="2">
        <f t="shared" si="32"/>
        <v>2.9603315571343991</v>
      </c>
      <c r="K290" s="3">
        <f t="shared" si="33"/>
        <v>1.4848012652565645</v>
      </c>
      <c r="M290">
        <f t="shared" si="34"/>
        <v>1.0292504570383914</v>
      </c>
    </row>
    <row r="291" spans="1:13" x14ac:dyDescent="0.25">
      <c r="A291" s="4" t="s">
        <v>292</v>
      </c>
      <c r="B291" s="4">
        <v>171</v>
      </c>
      <c r="C291">
        <f t="shared" si="28"/>
        <v>0.85499999999999998</v>
      </c>
      <c r="D291">
        <f t="shared" si="29"/>
        <v>337.2</v>
      </c>
      <c r="E291">
        <v>64.2</v>
      </c>
      <c r="G291">
        <f t="shared" si="30"/>
        <v>337.2</v>
      </c>
      <c r="H291" s="2">
        <f t="shared" si="31"/>
        <v>2.1314788732394367</v>
      </c>
      <c r="J291" s="2">
        <f t="shared" si="32"/>
        <v>2.9655990510083039</v>
      </c>
      <c r="K291" s="3">
        <f t="shared" si="33"/>
        <v>1.4865790435025639</v>
      </c>
      <c r="M291">
        <f t="shared" si="34"/>
        <v>1.0274223034734917</v>
      </c>
    </row>
    <row r="292" spans="1:13" x14ac:dyDescent="0.25">
      <c r="A292" s="4" t="s">
        <v>293</v>
      </c>
      <c r="B292" s="4">
        <v>171</v>
      </c>
      <c r="C292">
        <f t="shared" si="28"/>
        <v>0.85499999999999998</v>
      </c>
      <c r="D292">
        <f t="shared" si="29"/>
        <v>337.2</v>
      </c>
      <c r="E292">
        <v>64.2</v>
      </c>
      <c r="G292">
        <f t="shared" si="30"/>
        <v>337.2</v>
      </c>
      <c r="H292" s="2">
        <f t="shared" si="31"/>
        <v>2.1314788732394367</v>
      </c>
      <c r="J292" s="2">
        <f t="shared" si="32"/>
        <v>2.9655990510083039</v>
      </c>
      <c r="K292" s="3">
        <f t="shared" si="33"/>
        <v>1.4865790435025639</v>
      </c>
      <c r="M292">
        <f t="shared" si="34"/>
        <v>1.0274223034734917</v>
      </c>
    </row>
    <row r="293" spans="1:13" x14ac:dyDescent="0.25">
      <c r="A293" s="4" t="s">
        <v>294</v>
      </c>
      <c r="B293" s="4">
        <v>171</v>
      </c>
      <c r="C293">
        <f t="shared" si="28"/>
        <v>0.85499999999999998</v>
      </c>
      <c r="D293">
        <f t="shared" si="29"/>
        <v>337.2</v>
      </c>
      <c r="E293">
        <v>64.2</v>
      </c>
      <c r="G293">
        <f t="shared" si="30"/>
        <v>337.2</v>
      </c>
      <c r="H293" s="2">
        <f t="shared" si="31"/>
        <v>2.1314788732394367</v>
      </c>
      <c r="J293" s="2">
        <f t="shared" si="32"/>
        <v>2.9655990510083039</v>
      </c>
      <c r="K293" s="3">
        <f t="shared" si="33"/>
        <v>1.4865790435025639</v>
      </c>
      <c r="M293">
        <f t="shared" si="34"/>
        <v>1.0274223034734917</v>
      </c>
    </row>
    <row r="294" spans="1:13" x14ac:dyDescent="0.25">
      <c r="A294" s="4" t="s">
        <v>295</v>
      </c>
      <c r="B294" s="4">
        <v>170</v>
      </c>
      <c r="C294">
        <f t="shared" si="28"/>
        <v>0.85</v>
      </c>
      <c r="D294">
        <f t="shared" si="29"/>
        <v>336.9</v>
      </c>
      <c r="E294">
        <v>63.9</v>
      </c>
      <c r="G294">
        <f t="shared" si="30"/>
        <v>336.9</v>
      </c>
      <c r="H294" s="2">
        <f t="shared" si="31"/>
        <v>2.1190140845070422</v>
      </c>
      <c r="J294" s="2">
        <f t="shared" si="32"/>
        <v>2.9682398337785694</v>
      </c>
      <c r="K294" s="3">
        <f t="shared" si="33"/>
        <v>1.4757388803129612</v>
      </c>
      <c r="M294">
        <f t="shared" si="34"/>
        <v>1.0265082266910419</v>
      </c>
    </row>
    <row r="295" spans="1:13" x14ac:dyDescent="0.25">
      <c r="A295" s="4" t="s">
        <v>296</v>
      </c>
      <c r="B295" s="4">
        <v>171</v>
      </c>
      <c r="C295">
        <f t="shared" si="28"/>
        <v>0.85499999999999998</v>
      </c>
      <c r="D295">
        <f t="shared" si="29"/>
        <v>336.9</v>
      </c>
      <c r="E295">
        <v>63.9</v>
      </c>
      <c r="G295">
        <f t="shared" si="30"/>
        <v>336.9</v>
      </c>
      <c r="H295" s="2">
        <f t="shared" si="31"/>
        <v>2.1314788732394367</v>
      </c>
      <c r="J295" s="2">
        <f t="shared" si="32"/>
        <v>2.9682398337785694</v>
      </c>
      <c r="K295" s="3">
        <f t="shared" si="33"/>
        <v>1.4874691192177574</v>
      </c>
      <c r="M295">
        <f t="shared" si="34"/>
        <v>1.0265082266910419</v>
      </c>
    </row>
    <row r="296" spans="1:13" x14ac:dyDescent="0.25">
      <c r="A296" s="4" t="s">
        <v>297</v>
      </c>
      <c r="B296" s="4">
        <v>169</v>
      </c>
      <c r="C296">
        <f t="shared" si="28"/>
        <v>0.84499999999999997</v>
      </c>
      <c r="D296">
        <f t="shared" si="29"/>
        <v>336.9</v>
      </c>
      <c r="E296">
        <v>63.9</v>
      </c>
      <c r="G296">
        <f t="shared" si="30"/>
        <v>336.9</v>
      </c>
      <c r="H296" s="2">
        <f t="shared" si="31"/>
        <v>2.1065492957746477</v>
      </c>
      <c r="J296" s="2">
        <f t="shared" si="32"/>
        <v>2.9682398337785694</v>
      </c>
      <c r="K296" s="3">
        <f t="shared" si="33"/>
        <v>1.4639394360585845</v>
      </c>
      <c r="M296">
        <f t="shared" si="34"/>
        <v>1.0265082266910419</v>
      </c>
    </row>
    <row r="297" spans="1:13" x14ac:dyDescent="0.25">
      <c r="A297" s="4" t="s">
        <v>298</v>
      </c>
      <c r="B297" s="4">
        <v>171</v>
      </c>
      <c r="C297">
        <f t="shared" si="28"/>
        <v>0.85499999999999998</v>
      </c>
      <c r="D297">
        <f t="shared" si="29"/>
        <v>336.9</v>
      </c>
      <c r="E297">
        <v>63.9</v>
      </c>
      <c r="G297">
        <f t="shared" si="30"/>
        <v>336.9</v>
      </c>
      <c r="H297" s="2">
        <f t="shared" si="31"/>
        <v>2.1314788732394367</v>
      </c>
      <c r="J297" s="2">
        <f t="shared" si="32"/>
        <v>2.9682398337785694</v>
      </c>
      <c r="K297" s="3">
        <f t="shared" si="33"/>
        <v>1.4874691192177574</v>
      </c>
      <c r="M297">
        <f t="shared" si="34"/>
        <v>1.0265082266910419</v>
      </c>
    </row>
    <row r="298" spans="1:13" x14ac:dyDescent="0.25">
      <c r="A298" s="4" t="s">
        <v>299</v>
      </c>
      <c r="B298" s="4">
        <v>169</v>
      </c>
      <c r="C298">
        <f t="shared" si="28"/>
        <v>0.84499999999999997</v>
      </c>
      <c r="D298">
        <f t="shared" si="29"/>
        <v>336.7</v>
      </c>
      <c r="E298">
        <v>63.7</v>
      </c>
      <c r="G298">
        <f t="shared" si="30"/>
        <v>336.7</v>
      </c>
      <c r="H298" s="2">
        <f t="shared" si="31"/>
        <v>2.1065492957746477</v>
      </c>
      <c r="J298" s="2">
        <f t="shared" si="32"/>
        <v>2.97000297000297</v>
      </c>
      <c r="K298" s="3">
        <f t="shared" si="33"/>
        <v>1.4645332603040626</v>
      </c>
      <c r="M298">
        <f t="shared" si="34"/>
        <v>1.0258988421694089</v>
      </c>
    </row>
    <row r="299" spans="1:13" x14ac:dyDescent="0.25">
      <c r="A299" s="4" t="s">
        <v>300</v>
      </c>
      <c r="B299" s="4">
        <v>169</v>
      </c>
      <c r="C299">
        <f t="shared" si="28"/>
        <v>0.84499999999999997</v>
      </c>
      <c r="D299">
        <f t="shared" si="29"/>
        <v>336.7</v>
      </c>
      <c r="E299">
        <v>63.7</v>
      </c>
      <c r="G299">
        <f t="shared" si="30"/>
        <v>336.7</v>
      </c>
      <c r="H299" s="2">
        <f t="shared" si="31"/>
        <v>2.1065492957746477</v>
      </c>
      <c r="J299" s="2">
        <f t="shared" si="32"/>
        <v>2.97000297000297</v>
      </c>
      <c r="K299" s="3">
        <f t="shared" si="33"/>
        <v>1.4645332603040626</v>
      </c>
      <c r="M299">
        <f t="shared" si="34"/>
        <v>1.0258988421694089</v>
      </c>
    </row>
    <row r="300" spans="1:13" x14ac:dyDescent="0.25">
      <c r="A300" s="4" t="s">
        <v>301</v>
      </c>
      <c r="B300" s="4">
        <v>170</v>
      </c>
      <c r="C300">
        <f t="shared" si="28"/>
        <v>0.85</v>
      </c>
      <c r="D300">
        <f t="shared" si="29"/>
        <v>336.7</v>
      </c>
      <c r="E300">
        <v>63.7</v>
      </c>
      <c r="G300">
        <f t="shared" si="30"/>
        <v>336.7</v>
      </c>
      <c r="H300" s="2">
        <f t="shared" si="31"/>
        <v>2.1190140845070422</v>
      </c>
      <c r="J300" s="2">
        <f t="shared" si="32"/>
        <v>2.97000297000297</v>
      </c>
      <c r="K300" s="3">
        <f t="shared" si="33"/>
        <v>1.4763327045584393</v>
      </c>
      <c r="M300">
        <f t="shared" si="34"/>
        <v>1.0258988421694089</v>
      </c>
    </row>
    <row r="301" spans="1:13" x14ac:dyDescent="0.25">
      <c r="A301" s="4" t="s">
        <v>302</v>
      </c>
      <c r="B301" s="4">
        <v>170</v>
      </c>
      <c r="C301">
        <f t="shared" si="28"/>
        <v>0.85</v>
      </c>
      <c r="D301">
        <f t="shared" si="29"/>
        <v>336.3</v>
      </c>
      <c r="E301">
        <v>63.3</v>
      </c>
      <c r="G301">
        <f t="shared" si="30"/>
        <v>336.3</v>
      </c>
      <c r="H301" s="2">
        <f t="shared" si="31"/>
        <v>2.1190140845070422</v>
      </c>
      <c r="J301" s="2">
        <f t="shared" si="32"/>
        <v>2.9735355337496281</v>
      </c>
      <c r="K301" s="3">
        <f t="shared" si="33"/>
        <v>1.4775214119792441</v>
      </c>
      <c r="M301">
        <f t="shared" si="34"/>
        <v>1.0246800731261427</v>
      </c>
    </row>
    <row r="302" spans="1:13" x14ac:dyDescent="0.25">
      <c r="A302" s="4" t="s">
        <v>303</v>
      </c>
      <c r="B302" s="4">
        <v>167</v>
      </c>
      <c r="C302">
        <f t="shared" si="28"/>
        <v>0.83499999999999996</v>
      </c>
      <c r="D302">
        <f t="shared" si="29"/>
        <v>336.3</v>
      </c>
      <c r="E302">
        <v>63.3</v>
      </c>
      <c r="G302">
        <f t="shared" si="30"/>
        <v>336.3</v>
      </c>
      <c r="H302" s="2">
        <f t="shared" si="31"/>
        <v>2.081619718309859</v>
      </c>
      <c r="J302" s="2">
        <f t="shared" si="32"/>
        <v>2.9735355337496281</v>
      </c>
      <c r="K302" s="3">
        <f t="shared" si="33"/>
        <v>1.4419121627122307</v>
      </c>
      <c r="M302">
        <f t="shared" si="34"/>
        <v>1.0246800731261427</v>
      </c>
    </row>
    <row r="303" spans="1:13" x14ac:dyDescent="0.25">
      <c r="A303" s="4" t="s">
        <v>304</v>
      </c>
      <c r="B303" s="4">
        <v>168</v>
      </c>
      <c r="C303">
        <f t="shared" si="28"/>
        <v>0.84</v>
      </c>
      <c r="D303">
        <f t="shared" si="29"/>
        <v>336.3</v>
      </c>
      <c r="E303">
        <v>63.3</v>
      </c>
      <c r="G303">
        <f t="shared" si="30"/>
        <v>336.3</v>
      </c>
      <c r="H303" s="2">
        <f t="shared" si="31"/>
        <v>2.0940845070422536</v>
      </c>
      <c r="J303" s="2">
        <f t="shared" si="32"/>
        <v>2.9735355337496281</v>
      </c>
      <c r="K303" s="3">
        <f t="shared" si="33"/>
        <v>1.4538524966852384</v>
      </c>
      <c r="M303">
        <f t="shared" si="34"/>
        <v>1.0246800731261427</v>
      </c>
    </row>
    <row r="304" spans="1:13" x14ac:dyDescent="0.25">
      <c r="A304" s="4" t="s">
        <v>305</v>
      </c>
      <c r="B304" s="4">
        <v>168</v>
      </c>
      <c r="C304">
        <f t="shared" si="28"/>
        <v>0.84</v>
      </c>
      <c r="D304">
        <f t="shared" si="29"/>
        <v>336</v>
      </c>
      <c r="E304">
        <v>63</v>
      </c>
      <c r="G304">
        <f t="shared" si="30"/>
        <v>336</v>
      </c>
      <c r="H304" s="2">
        <f t="shared" si="31"/>
        <v>2.0940845070422536</v>
      </c>
      <c r="J304" s="2">
        <f t="shared" si="32"/>
        <v>2.9761904761904763</v>
      </c>
      <c r="K304" s="3">
        <f t="shared" si="33"/>
        <v>1.4547449554682581</v>
      </c>
      <c r="M304">
        <f t="shared" si="34"/>
        <v>1.0237659963436929</v>
      </c>
    </row>
    <row r="305" spans="1:13" x14ac:dyDescent="0.25">
      <c r="A305" s="4" t="s">
        <v>306</v>
      </c>
      <c r="B305" s="4">
        <v>168</v>
      </c>
      <c r="C305">
        <f t="shared" si="28"/>
        <v>0.84</v>
      </c>
      <c r="D305">
        <f t="shared" si="29"/>
        <v>336</v>
      </c>
      <c r="E305">
        <v>63</v>
      </c>
      <c r="G305">
        <f t="shared" si="30"/>
        <v>336</v>
      </c>
      <c r="H305" s="2">
        <f t="shared" si="31"/>
        <v>2.0940845070422536</v>
      </c>
      <c r="J305" s="2">
        <f t="shared" si="32"/>
        <v>2.9761904761904763</v>
      </c>
      <c r="K305" s="3">
        <f t="shared" si="33"/>
        <v>1.4547449554682581</v>
      </c>
      <c r="M305">
        <f t="shared" si="34"/>
        <v>1.0237659963436929</v>
      </c>
    </row>
    <row r="306" spans="1:13" x14ac:dyDescent="0.25">
      <c r="A306" s="4" t="s">
        <v>307</v>
      </c>
      <c r="B306" s="4">
        <v>167</v>
      </c>
      <c r="C306">
        <f t="shared" si="28"/>
        <v>0.83499999999999996</v>
      </c>
      <c r="D306">
        <f t="shared" si="29"/>
        <v>336</v>
      </c>
      <c r="E306">
        <v>63</v>
      </c>
      <c r="G306">
        <f t="shared" si="30"/>
        <v>336</v>
      </c>
      <c r="H306" s="2">
        <f t="shared" si="31"/>
        <v>2.081619718309859</v>
      </c>
      <c r="J306" s="2">
        <f t="shared" si="32"/>
        <v>2.9761904761904763</v>
      </c>
      <c r="K306" s="3">
        <f t="shared" si="33"/>
        <v>1.4428046214952506</v>
      </c>
      <c r="M306">
        <f t="shared" si="34"/>
        <v>1.0237659963436929</v>
      </c>
    </row>
    <row r="307" spans="1:13" x14ac:dyDescent="0.25">
      <c r="A307" s="4" t="s">
        <v>308</v>
      </c>
      <c r="B307" s="4">
        <v>167</v>
      </c>
      <c r="C307">
        <f t="shared" si="28"/>
        <v>0.83499999999999996</v>
      </c>
      <c r="D307">
        <f t="shared" si="29"/>
        <v>336</v>
      </c>
      <c r="E307">
        <v>63</v>
      </c>
      <c r="G307">
        <f t="shared" si="30"/>
        <v>336</v>
      </c>
      <c r="H307" s="2">
        <f t="shared" si="31"/>
        <v>2.081619718309859</v>
      </c>
      <c r="J307" s="2">
        <f t="shared" si="32"/>
        <v>2.9761904761904763</v>
      </c>
      <c r="K307" s="3">
        <f t="shared" si="33"/>
        <v>1.4428046214952506</v>
      </c>
      <c r="M307">
        <f t="shared" si="34"/>
        <v>1.0237659963436929</v>
      </c>
    </row>
    <row r="308" spans="1:13" x14ac:dyDescent="0.25">
      <c r="A308" s="4" t="s">
        <v>309</v>
      </c>
      <c r="B308" s="4">
        <v>167</v>
      </c>
      <c r="C308">
        <f t="shared" si="28"/>
        <v>0.83499999999999996</v>
      </c>
      <c r="D308">
        <f t="shared" si="29"/>
        <v>336</v>
      </c>
      <c r="E308">
        <v>63</v>
      </c>
      <c r="G308">
        <f t="shared" si="30"/>
        <v>336</v>
      </c>
      <c r="H308" s="2">
        <f t="shared" si="31"/>
        <v>2.081619718309859</v>
      </c>
      <c r="J308" s="2">
        <f t="shared" si="32"/>
        <v>2.9761904761904763</v>
      </c>
      <c r="K308" s="3">
        <f t="shared" si="33"/>
        <v>1.4428046214952506</v>
      </c>
      <c r="M308">
        <f t="shared" si="34"/>
        <v>1.0237659963436929</v>
      </c>
    </row>
    <row r="309" spans="1:13" x14ac:dyDescent="0.25">
      <c r="A309" s="4" t="s">
        <v>310</v>
      </c>
      <c r="B309" s="4">
        <v>166</v>
      </c>
      <c r="C309">
        <f t="shared" si="28"/>
        <v>0.83</v>
      </c>
      <c r="D309">
        <f t="shared" si="29"/>
        <v>336</v>
      </c>
      <c r="E309">
        <v>63</v>
      </c>
      <c r="G309">
        <f t="shared" si="30"/>
        <v>336</v>
      </c>
      <c r="H309" s="2">
        <f t="shared" si="31"/>
        <v>2.0691549295774649</v>
      </c>
      <c r="J309" s="2">
        <f t="shared" si="32"/>
        <v>2.9761904761904763</v>
      </c>
      <c r="K309" s="3">
        <f t="shared" si="33"/>
        <v>1.4307925733748268</v>
      </c>
      <c r="M309">
        <f t="shared" si="34"/>
        <v>1.0237659963436929</v>
      </c>
    </row>
    <row r="310" spans="1:13" x14ac:dyDescent="0.25">
      <c r="A310" s="4" t="s">
        <v>311</v>
      </c>
      <c r="B310" s="4">
        <v>166</v>
      </c>
      <c r="C310">
        <f t="shared" si="28"/>
        <v>0.83</v>
      </c>
      <c r="D310">
        <f t="shared" si="29"/>
        <v>336</v>
      </c>
      <c r="E310">
        <v>63</v>
      </c>
      <c r="G310">
        <f t="shared" si="30"/>
        <v>336</v>
      </c>
      <c r="H310" s="2">
        <f t="shared" si="31"/>
        <v>2.0691549295774649</v>
      </c>
      <c r="J310" s="2">
        <f t="shared" si="32"/>
        <v>2.9761904761904763</v>
      </c>
      <c r="K310" s="3">
        <f t="shared" si="33"/>
        <v>1.4307925733748268</v>
      </c>
      <c r="M310">
        <f t="shared" si="34"/>
        <v>1.0237659963436929</v>
      </c>
    </row>
    <row r="311" spans="1:13" x14ac:dyDescent="0.25">
      <c r="A311" s="4" t="s">
        <v>312</v>
      </c>
      <c r="B311" s="4">
        <v>166</v>
      </c>
      <c r="C311">
        <f t="shared" si="28"/>
        <v>0.83</v>
      </c>
      <c r="D311">
        <f t="shared" si="29"/>
        <v>336</v>
      </c>
      <c r="E311">
        <v>63</v>
      </c>
      <c r="G311">
        <f t="shared" si="30"/>
        <v>336</v>
      </c>
      <c r="H311" s="2">
        <f t="shared" si="31"/>
        <v>2.0691549295774649</v>
      </c>
      <c r="J311" s="2">
        <f t="shared" si="32"/>
        <v>2.9761904761904763</v>
      </c>
      <c r="K311" s="3">
        <f t="shared" si="33"/>
        <v>1.4307925733748268</v>
      </c>
      <c r="M311">
        <f t="shared" si="34"/>
        <v>1.0237659963436929</v>
      </c>
    </row>
    <row r="312" spans="1:13" x14ac:dyDescent="0.25">
      <c r="A312" s="4" t="s">
        <v>313</v>
      </c>
      <c r="B312" s="4">
        <v>166</v>
      </c>
      <c r="C312">
        <f t="shared" si="28"/>
        <v>0.83</v>
      </c>
      <c r="D312">
        <f t="shared" si="29"/>
        <v>336</v>
      </c>
      <c r="E312">
        <v>63</v>
      </c>
      <c r="G312">
        <f t="shared" si="30"/>
        <v>336</v>
      </c>
      <c r="H312" s="2">
        <f t="shared" si="31"/>
        <v>2.0691549295774649</v>
      </c>
      <c r="J312" s="2">
        <f t="shared" si="32"/>
        <v>2.9761904761904763</v>
      </c>
      <c r="K312" s="3">
        <f t="shared" si="33"/>
        <v>1.4307925733748268</v>
      </c>
      <c r="M312">
        <f t="shared" si="34"/>
        <v>1.0237659963436929</v>
      </c>
    </row>
    <row r="313" spans="1:13" x14ac:dyDescent="0.25">
      <c r="A313" s="4" t="s">
        <v>314</v>
      </c>
      <c r="B313" s="4">
        <v>165</v>
      </c>
      <c r="C313">
        <f t="shared" si="28"/>
        <v>0.82499999999999996</v>
      </c>
      <c r="D313">
        <f t="shared" si="29"/>
        <v>336</v>
      </c>
      <c r="E313">
        <v>63</v>
      </c>
      <c r="G313">
        <f t="shared" si="30"/>
        <v>336</v>
      </c>
      <c r="H313" s="2">
        <f t="shared" si="31"/>
        <v>2.0566901408450704</v>
      </c>
      <c r="J313" s="2">
        <f t="shared" si="32"/>
        <v>2.9761904761904763</v>
      </c>
      <c r="K313" s="3">
        <f t="shared" si="33"/>
        <v>1.4187079444629016</v>
      </c>
      <c r="M313">
        <f t="shared" si="34"/>
        <v>1.0237659963436929</v>
      </c>
    </row>
    <row r="314" spans="1:13" x14ac:dyDescent="0.25">
      <c r="A314" s="4" t="s">
        <v>315</v>
      </c>
      <c r="B314" s="4">
        <v>166</v>
      </c>
      <c r="C314">
        <f t="shared" si="28"/>
        <v>0.83</v>
      </c>
      <c r="D314">
        <f t="shared" si="29"/>
        <v>335.9</v>
      </c>
      <c r="E314">
        <v>62.9</v>
      </c>
      <c r="G314">
        <f t="shared" si="30"/>
        <v>335.9</v>
      </c>
      <c r="H314" s="2">
        <f t="shared" si="31"/>
        <v>2.0691549295774649</v>
      </c>
      <c r="J314" s="2">
        <f t="shared" si="32"/>
        <v>2.9770765108663295</v>
      </c>
      <c r="K314" s="3">
        <f t="shared" si="33"/>
        <v>1.4310902367197842</v>
      </c>
      <c r="M314">
        <f t="shared" si="34"/>
        <v>1.0234613040828762</v>
      </c>
    </row>
    <row r="315" spans="1:13" x14ac:dyDescent="0.25">
      <c r="A315" s="4" t="s">
        <v>316</v>
      </c>
      <c r="B315" s="4">
        <v>166</v>
      </c>
      <c r="C315">
        <f t="shared" si="28"/>
        <v>0.83</v>
      </c>
      <c r="D315">
        <f t="shared" si="29"/>
        <v>335.9</v>
      </c>
      <c r="E315">
        <v>62.9</v>
      </c>
      <c r="G315">
        <f t="shared" si="30"/>
        <v>335.9</v>
      </c>
      <c r="H315" s="2">
        <f t="shared" si="31"/>
        <v>2.0691549295774649</v>
      </c>
      <c r="J315" s="2">
        <f t="shared" si="32"/>
        <v>2.9770765108663295</v>
      </c>
      <c r="K315" s="3">
        <f t="shared" si="33"/>
        <v>1.4310902367197842</v>
      </c>
      <c r="M315">
        <f t="shared" si="34"/>
        <v>1.0234613040828762</v>
      </c>
    </row>
    <row r="316" spans="1:13" x14ac:dyDescent="0.25">
      <c r="A316" s="4" t="s">
        <v>317</v>
      </c>
      <c r="B316" s="4">
        <v>165</v>
      </c>
      <c r="C316">
        <f t="shared" si="28"/>
        <v>0.82499999999999996</v>
      </c>
      <c r="D316">
        <f t="shared" si="29"/>
        <v>335.9</v>
      </c>
      <c r="E316">
        <v>62.9</v>
      </c>
      <c r="G316">
        <f t="shared" si="30"/>
        <v>335.9</v>
      </c>
      <c r="H316" s="2">
        <f t="shared" si="31"/>
        <v>2.0566901408450704</v>
      </c>
      <c r="J316" s="2">
        <f t="shared" si="32"/>
        <v>2.9770765108663295</v>
      </c>
      <c r="K316" s="3">
        <f t="shared" si="33"/>
        <v>1.419005607807859</v>
      </c>
      <c r="M316">
        <f t="shared" si="34"/>
        <v>1.0234613040828762</v>
      </c>
    </row>
    <row r="317" spans="1:13" x14ac:dyDescent="0.25">
      <c r="A317" s="4" t="s">
        <v>318</v>
      </c>
      <c r="B317" s="4">
        <v>165</v>
      </c>
      <c r="C317">
        <f t="shared" si="28"/>
        <v>0.82499999999999996</v>
      </c>
      <c r="D317">
        <f t="shared" si="29"/>
        <v>335.8</v>
      </c>
      <c r="E317">
        <v>62.8</v>
      </c>
      <c r="G317">
        <f t="shared" si="30"/>
        <v>335.8</v>
      </c>
      <c r="H317" s="2">
        <f t="shared" si="31"/>
        <v>2.0566901408450704</v>
      </c>
      <c r="J317" s="2">
        <f t="shared" si="32"/>
        <v>2.9779630732578917</v>
      </c>
      <c r="K317" s="3">
        <f t="shared" si="33"/>
        <v>1.4193033597826652</v>
      </c>
      <c r="M317">
        <f t="shared" si="34"/>
        <v>1.0231566118220599</v>
      </c>
    </row>
    <row r="318" spans="1:13" x14ac:dyDescent="0.25">
      <c r="A318" s="4" t="s">
        <v>319</v>
      </c>
      <c r="B318" s="4">
        <v>165</v>
      </c>
      <c r="C318">
        <f t="shared" si="28"/>
        <v>0.82499999999999996</v>
      </c>
      <c r="D318">
        <f t="shared" si="29"/>
        <v>335.8</v>
      </c>
      <c r="E318">
        <v>62.8</v>
      </c>
      <c r="G318">
        <f t="shared" si="30"/>
        <v>335.8</v>
      </c>
      <c r="H318" s="2">
        <f t="shared" si="31"/>
        <v>2.0566901408450704</v>
      </c>
      <c r="J318" s="2">
        <f t="shared" si="32"/>
        <v>2.9779630732578917</v>
      </c>
      <c r="K318" s="3">
        <f t="shared" si="33"/>
        <v>1.4193033597826652</v>
      </c>
      <c r="M318">
        <f t="shared" si="34"/>
        <v>1.0231566118220599</v>
      </c>
    </row>
    <row r="319" spans="1:13" x14ac:dyDescent="0.25">
      <c r="A319" s="4" t="s">
        <v>320</v>
      </c>
      <c r="B319" s="4">
        <v>165</v>
      </c>
      <c r="C319">
        <f t="shared" si="28"/>
        <v>0.82499999999999996</v>
      </c>
      <c r="D319">
        <f t="shared" si="29"/>
        <v>335.8</v>
      </c>
      <c r="E319">
        <v>62.8</v>
      </c>
      <c r="G319">
        <f t="shared" si="30"/>
        <v>335.8</v>
      </c>
      <c r="H319" s="2">
        <f t="shared" si="31"/>
        <v>2.0566901408450704</v>
      </c>
      <c r="J319" s="2">
        <f t="shared" si="32"/>
        <v>2.9779630732578917</v>
      </c>
      <c r="K319" s="3">
        <f t="shared" si="33"/>
        <v>1.4193033597826652</v>
      </c>
      <c r="M319">
        <f t="shared" si="34"/>
        <v>1.0231566118220599</v>
      </c>
    </row>
    <row r="320" spans="1:13" x14ac:dyDescent="0.25">
      <c r="A320" s="4" t="s">
        <v>321</v>
      </c>
      <c r="B320" s="4">
        <v>164</v>
      </c>
      <c r="C320">
        <f t="shared" si="28"/>
        <v>0.82</v>
      </c>
      <c r="D320">
        <f t="shared" si="29"/>
        <v>335.7</v>
      </c>
      <c r="E320">
        <v>62.7</v>
      </c>
      <c r="G320">
        <f t="shared" si="30"/>
        <v>335.7</v>
      </c>
      <c r="H320" s="2">
        <f t="shared" si="31"/>
        <v>2.0442253521126763</v>
      </c>
      <c r="J320" s="2">
        <f t="shared" si="32"/>
        <v>2.9788501638367593</v>
      </c>
      <c r="K320" s="3">
        <f t="shared" si="33"/>
        <v>1.4074431082873524</v>
      </c>
      <c r="M320">
        <f t="shared" si="34"/>
        <v>1.0228519195612431</v>
      </c>
    </row>
    <row r="321" spans="1:13" x14ac:dyDescent="0.25">
      <c r="A321" s="4" t="s">
        <v>322</v>
      </c>
      <c r="B321" s="4">
        <v>165</v>
      </c>
      <c r="C321">
        <f t="shared" si="28"/>
        <v>0.82499999999999996</v>
      </c>
      <c r="D321">
        <f t="shared" si="29"/>
        <v>335.7</v>
      </c>
      <c r="E321">
        <v>62.7</v>
      </c>
      <c r="G321">
        <f t="shared" si="30"/>
        <v>335.7</v>
      </c>
      <c r="H321" s="2">
        <f t="shared" si="31"/>
        <v>2.0566901408450704</v>
      </c>
      <c r="J321" s="2">
        <f t="shared" si="32"/>
        <v>2.9788501638367593</v>
      </c>
      <c r="K321" s="3">
        <f t="shared" si="33"/>
        <v>1.4196012004401166</v>
      </c>
      <c r="M321">
        <f t="shared" si="34"/>
        <v>1.0228519195612431</v>
      </c>
    </row>
    <row r="322" spans="1:13" x14ac:dyDescent="0.25">
      <c r="A322" s="4" t="s">
        <v>323</v>
      </c>
      <c r="B322" s="4">
        <v>164</v>
      </c>
      <c r="C322">
        <f t="shared" si="28"/>
        <v>0.82</v>
      </c>
      <c r="D322">
        <f t="shared" si="29"/>
        <v>335.7</v>
      </c>
      <c r="E322">
        <v>62.7</v>
      </c>
      <c r="G322">
        <f t="shared" si="30"/>
        <v>335.7</v>
      </c>
      <c r="H322" s="2">
        <f t="shared" si="31"/>
        <v>2.0442253521126763</v>
      </c>
      <c r="J322" s="2">
        <f t="shared" si="32"/>
        <v>2.9788501638367593</v>
      </c>
      <c r="K322" s="3">
        <f t="shared" si="33"/>
        <v>1.4074431082873524</v>
      </c>
      <c r="M322">
        <f t="shared" si="34"/>
        <v>1.0228519195612431</v>
      </c>
    </row>
    <row r="323" spans="1:13" x14ac:dyDescent="0.25">
      <c r="A323" s="4" t="s">
        <v>324</v>
      </c>
      <c r="B323" s="4">
        <v>164</v>
      </c>
      <c r="C323">
        <f t="shared" si="28"/>
        <v>0.82</v>
      </c>
      <c r="D323">
        <f t="shared" si="29"/>
        <v>335.2</v>
      </c>
      <c r="E323">
        <v>62.2</v>
      </c>
      <c r="G323">
        <f t="shared" si="30"/>
        <v>335.2</v>
      </c>
      <c r="H323" s="2">
        <f t="shared" si="31"/>
        <v>2.0442253521126763</v>
      </c>
      <c r="J323" s="2">
        <f t="shared" si="32"/>
        <v>2.9832935560859188</v>
      </c>
      <c r="K323" s="3">
        <f t="shared" si="33"/>
        <v>1.4089336436654136</v>
      </c>
      <c r="M323">
        <f t="shared" si="34"/>
        <v>1.0213284582571602</v>
      </c>
    </row>
    <row r="324" spans="1:13" x14ac:dyDescent="0.25">
      <c r="A324" s="4" t="s">
        <v>325</v>
      </c>
      <c r="B324" s="4">
        <v>163</v>
      </c>
      <c r="C324">
        <f t="shared" si="28"/>
        <v>0.81499999999999995</v>
      </c>
      <c r="D324">
        <f t="shared" si="29"/>
        <v>335.2</v>
      </c>
      <c r="E324">
        <v>62.2</v>
      </c>
      <c r="G324">
        <f t="shared" si="30"/>
        <v>335.2</v>
      </c>
      <c r="H324" s="2">
        <f t="shared" si="31"/>
        <v>2.0317605633802818</v>
      </c>
      <c r="J324" s="2">
        <f t="shared" si="32"/>
        <v>2.9832935560859188</v>
      </c>
      <c r="K324" s="3">
        <f t="shared" si="33"/>
        <v>1.3967011896305415</v>
      </c>
      <c r="M324">
        <f t="shared" si="34"/>
        <v>1.0213284582571602</v>
      </c>
    </row>
    <row r="325" spans="1:13" x14ac:dyDescent="0.25">
      <c r="A325" s="4" t="s">
        <v>326</v>
      </c>
      <c r="B325" s="4">
        <v>163</v>
      </c>
      <c r="C325">
        <f t="shared" si="28"/>
        <v>0.81499999999999995</v>
      </c>
      <c r="D325">
        <f t="shared" si="29"/>
        <v>335.2</v>
      </c>
      <c r="E325">
        <v>62.2</v>
      </c>
      <c r="G325">
        <f t="shared" si="30"/>
        <v>335.2</v>
      </c>
      <c r="H325" s="2">
        <f t="shared" si="31"/>
        <v>2.0317605633802818</v>
      </c>
      <c r="J325" s="2">
        <f t="shared" si="32"/>
        <v>2.9832935560859188</v>
      </c>
      <c r="K325" s="3">
        <f t="shared" si="33"/>
        <v>1.3967011896305415</v>
      </c>
      <c r="M325">
        <f t="shared" si="34"/>
        <v>1.0213284582571602</v>
      </c>
    </row>
    <row r="326" spans="1:13" x14ac:dyDescent="0.25">
      <c r="A326" s="4" t="s">
        <v>327</v>
      </c>
      <c r="B326" s="4">
        <v>165</v>
      </c>
      <c r="C326">
        <f t="shared" si="28"/>
        <v>0.82499999999999996</v>
      </c>
      <c r="D326">
        <f t="shared" si="29"/>
        <v>334.9</v>
      </c>
      <c r="E326">
        <v>61.9</v>
      </c>
      <c r="G326">
        <f t="shared" si="30"/>
        <v>334.9</v>
      </c>
      <c r="H326" s="2">
        <f t="shared" si="31"/>
        <v>2.0566901408450704</v>
      </c>
      <c r="J326" s="2">
        <f t="shared" si="32"/>
        <v>2.9859659599880564</v>
      </c>
      <c r="K326" s="3">
        <f t="shared" si="33"/>
        <v>1.4219871246259472</v>
      </c>
      <c r="M326">
        <f t="shared" si="34"/>
        <v>1.0204143814747104</v>
      </c>
    </row>
    <row r="327" spans="1:13" x14ac:dyDescent="0.25">
      <c r="A327" s="4" t="s">
        <v>328</v>
      </c>
      <c r="B327" s="4">
        <v>164</v>
      </c>
      <c r="C327">
        <f t="shared" si="28"/>
        <v>0.82</v>
      </c>
      <c r="D327">
        <f t="shared" si="29"/>
        <v>334.9</v>
      </c>
      <c r="E327">
        <v>61.9</v>
      </c>
      <c r="G327">
        <f t="shared" si="30"/>
        <v>334.9</v>
      </c>
      <c r="H327" s="2">
        <f t="shared" si="31"/>
        <v>2.0442253521126763</v>
      </c>
      <c r="J327" s="2">
        <f t="shared" si="32"/>
        <v>2.9859659599880564</v>
      </c>
      <c r="K327" s="3">
        <f t="shared" si="33"/>
        <v>1.4098290324731828</v>
      </c>
      <c r="M327">
        <f t="shared" si="34"/>
        <v>1.0204143814747104</v>
      </c>
    </row>
    <row r="328" spans="1:13" x14ac:dyDescent="0.25">
      <c r="A328" s="4" t="s">
        <v>329</v>
      </c>
      <c r="B328" s="4">
        <v>164</v>
      </c>
      <c r="C328">
        <f t="shared" si="28"/>
        <v>0.82</v>
      </c>
      <c r="D328">
        <f t="shared" si="29"/>
        <v>334.9</v>
      </c>
      <c r="E328">
        <v>61.9</v>
      </c>
      <c r="G328">
        <f t="shared" si="30"/>
        <v>334.9</v>
      </c>
      <c r="H328" s="2">
        <f t="shared" si="31"/>
        <v>2.0442253521126763</v>
      </c>
      <c r="J328" s="2">
        <f t="shared" si="32"/>
        <v>2.9859659599880564</v>
      </c>
      <c r="K328" s="3">
        <f t="shared" si="33"/>
        <v>1.4098290324731828</v>
      </c>
      <c r="M328">
        <f t="shared" si="34"/>
        <v>1.0204143814747104</v>
      </c>
    </row>
    <row r="329" spans="1:13" x14ac:dyDescent="0.25">
      <c r="A329" s="4" t="s">
        <v>330</v>
      </c>
      <c r="B329" s="4">
        <v>163</v>
      </c>
      <c r="C329">
        <f t="shared" si="28"/>
        <v>0.81499999999999995</v>
      </c>
      <c r="D329">
        <f t="shared" si="29"/>
        <v>334.9</v>
      </c>
      <c r="E329">
        <v>61.9</v>
      </c>
      <c r="G329">
        <f t="shared" si="30"/>
        <v>334.9</v>
      </c>
      <c r="H329" s="2">
        <f t="shared" si="31"/>
        <v>2.0317605633802818</v>
      </c>
      <c r="J329" s="2">
        <f t="shared" si="32"/>
        <v>2.9859659599880564</v>
      </c>
      <c r="K329" s="3">
        <f t="shared" si="33"/>
        <v>1.3975965784383106</v>
      </c>
      <c r="M329">
        <f t="shared" si="34"/>
        <v>1.0204143814747104</v>
      </c>
    </row>
    <row r="330" spans="1:13" x14ac:dyDescent="0.25">
      <c r="A330" s="4" t="s">
        <v>331</v>
      </c>
      <c r="B330" s="4">
        <v>163</v>
      </c>
      <c r="C330">
        <f t="shared" si="28"/>
        <v>0.81499999999999995</v>
      </c>
      <c r="D330">
        <f t="shared" si="29"/>
        <v>334.9</v>
      </c>
      <c r="E330">
        <v>61.9</v>
      </c>
      <c r="G330">
        <f t="shared" si="30"/>
        <v>334.9</v>
      </c>
      <c r="H330" s="2">
        <f t="shared" si="31"/>
        <v>2.0317605633802818</v>
      </c>
      <c r="J330" s="2">
        <f t="shared" si="32"/>
        <v>2.9859659599880564</v>
      </c>
      <c r="K330" s="3">
        <f t="shared" si="33"/>
        <v>1.3975965784383106</v>
      </c>
      <c r="M330">
        <f t="shared" si="34"/>
        <v>1.0204143814747104</v>
      </c>
    </row>
    <row r="331" spans="1:13" x14ac:dyDescent="0.25">
      <c r="A331" s="4" t="s">
        <v>332</v>
      </c>
      <c r="B331" s="4">
        <v>164</v>
      </c>
      <c r="C331">
        <f t="shared" ref="C331:C394" si="35">B331/200</f>
        <v>0.82</v>
      </c>
      <c r="D331">
        <f t="shared" ref="D331:D394" si="36">273+E331</f>
        <v>334.9</v>
      </c>
      <c r="E331">
        <v>61.9</v>
      </c>
      <c r="G331">
        <f t="shared" ref="G331:G394" si="37">D331</f>
        <v>334.9</v>
      </c>
      <c r="H331" s="2">
        <f t="shared" ref="H331:H394" si="38">1.77*B331/142</f>
        <v>2.0442253521126763</v>
      </c>
      <c r="J331" s="2">
        <f t="shared" ref="J331:J394" si="39">1000/G331</f>
        <v>2.9859659599880564</v>
      </c>
      <c r="K331" s="3">
        <f t="shared" ref="K331:K394" si="40">LN(H331*H331/M331)</f>
        <v>1.4098290324731828</v>
      </c>
      <c r="M331">
        <f t="shared" ref="M331:M394" si="41">G331/328.2</f>
        <v>1.0204143814747104</v>
      </c>
    </row>
    <row r="332" spans="1:13" x14ac:dyDescent="0.25">
      <c r="A332" s="4" t="s">
        <v>333</v>
      </c>
      <c r="B332" s="4">
        <v>163</v>
      </c>
      <c r="C332">
        <f t="shared" si="35"/>
        <v>0.81499999999999995</v>
      </c>
      <c r="D332">
        <f t="shared" si="36"/>
        <v>334.9</v>
      </c>
      <c r="E332">
        <v>61.9</v>
      </c>
      <c r="G332">
        <f t="shared" si="37"/>
        <v>334.9</v>
      </c>
      <c r="H332" s="2">
        <f t="shared" si="38"/>
        <v>2.0317605633802818</v>
      </c>
      <c r="J332" s="2">
        <f t="shared" si="39"/>
        <v>2.9859659599880564</v>
      </c>
      <c r="K332" s="3">
        <f t="shared" si="40"/>
        <v>1.3975965784383106</v>
      </c>
      <c r="M332">
        <f t="shared" si="41"/>
        <v>1.0204143814747104</v>
      </c>
    </row>
    <row r="333" spans="1:13" x14ac:dyDescent="0.25">
      <c r="A333" s="4" t="s">
        <v>334</v>
      </c>
      <c r="B333" s="4">
        <v>163</v>
      </c>
      <c r="C333">
        <f t="shared" si="35"/>
        <v>0.81499999999999995</v>
      </c>
      <c r="D333">
        <f t="shared" si="36"/>
        <v>334.8</v>
      </c>
      <c r="E333">
        <v>61.8</v>
      </c>
      <c r="G333">
        <f t="shared" si="37"/>
        <v>334.8</v>
      </c>
      <c r="H333" s="2">
        <f t="shared" si="38"/>
        <v>2.0317605633802818</v>
      </c>
      <c r="J333" s="2">
        <f t="shared" si="39"/>
        <v>2.9868578255675029</v>
      </c>
      <c r="K333" s="3">
        <f t="shared" si="40"/>
        <v>1.3978952196231491</v>
      </c>
      <c r="M333">
        <f t="shared" si="41"/>
        <v>1.0201096892138941</v>
      </c>
    </row>
    <row r="334" spans="1:13" x14ac:dyDescent="0.25">
      <c r="A334" s="4" t="s">
        <v>335</v>
      </c>
      <c r="B334" s="4">
        <v>162</v>
      </c>
      <c r="C334">
        <f t="shared" si="35"/>
        <v>0.81</v>
      </c>
      <c r="D334">
        <f t="shared" si="36"/>
        <v>334.8</v>
      </c>
      <c r="E334">
        <v>61.8</v>
      </c>
      <c r="G334">
        <f t="shared" si="37"/>
        <v>334.8</v>
      </c>
      <c r="H334" s="2">
        <f t="shared" si="38"/>
        <v>2.0192957746478872</v>
      </c>
      <c r="J334" s="2">
        <f t="shared" si="39"/>
        <v>2.9868578255675029</v>
      </c>
      <c r="K334" s="3">
        <f t="shared" si="40"/>
        <v>1.3855874884743922</v>
      </c>
      <c r="M334">
        <f t="shared" si="41"/>
        <v>1.0201096892138941</v>
      </c>
    </row>
    <row r="335" spans="1:13" x14ac:dyDescent="0.25">
      <c r="A335" s="4" t="s">
        <v>336</v>
      </c>
      <c r="B335" s="4">
        <v>164</v>
      </c>
      <c r="C335">
        <f t="shared" si="35"/>
        <v>0.82</v>
      </c>
      <c r="D335">
        <f t="shared" si="36"/>
        <v>334.8</v>
      </c>
      <c r="E335">
        <v>61.8</v>
      </c>
      <c r="G335">
        <f t="shared" si="37"/>
        <v>334.8</v>
      </c>
      <c r="H335" s="2">
        <f t="shared" si="38"/>
        <v>2.0442253521126763</v>
      </c>
      <c r="J335" s="2">
        <f t="shared" si="39"/>
        <v>2.9868578255675029</v>
      </c>
      <c r="K335" s="3">
        <f t="shared" si="40"/>
        <v>1.4101276736580213</v>
      </c>
      <c r="M335">
        <f t="shared" si="41"/>
        <v>1.0201096892138941</v>
      </c>
    </row>
    <row r="336" spans="1:13" x14ac:dyDescent="0.25">
      <c r="A336" s="4" t="s">
        <v>337</v>
      </c>
      <c r="B336" s="4">
        <v>163</v>
      </c>
      <c r="C336">
        <f t="shared" si="35"/>
        <v>0.81499999999999995</v>
      </c>
      <c r="D336">
        <f t="shared" si="36"/>
        <v>334.7</v>
      </c>
      <c r="E336">
        <v>61.7</v>
      </c>
      <c r="G336">
        <f t="shared" si="37"/>
        <v>334.7</v>
      </c>
      <c r="H336" s="2">
        <f t="shared" si="38"/>
        <v>2.0317605633802818</v>
      </c>
      <c r="J336" s="2">
        <f t="shared" si="39"/>
        <v>2.987750224081267</v>
      </c>
      <c r="K336" s="3">
        <f t="shared" si="40"/>
        <v>1.3981939500211886</v>
      </c>
      <c r="M336">
        <f t="shared" si="41"/>
        <v>1.0198049969530774</v>
      </c>
    </row>
    <row r="337" spans="1:13" x14ac:dyDescent="0.25">
      <c r="A337" s="4" t="s">
        <v>338</v>
      </c>
      <c r="B337" s="4">
        <v>163</v>
      </c>
      <c r="C337">
        <f t="shared" si="35"/>
        <v>0.81499999999999995</v>
      </c>
      <c r="D337">
        <f t="shared" si="36"/>
        <v>334.7</v>
      </c>
      <c r="E337">
        <v>61.7</v>
      </c>
      <c r="G337">
        <f t="shared" si="37"/>
        <v>334.7</v>
      </c>
      <c r="H337" s="2">
        <f t="shared" si="38"/>
        <v>2.0317605633802818</v>
      </c>
      <c r="J337" s="2">
        <f t="shared" si="39"/>
        <v>2.987750224081267</v>
      </c>
      <c r="K337" s="3">
        <f t="shared" si="40"/>
        <v>1.3981939500211886</v>
      </c>
      <c r="M337">
        <f t="shared" si="41"/>
        <v>1.0198049969530774</v>
      </c>
    </row>
    <row r="338" spans="1:13" x14ac:dyDescent="0.25">
      <c r="A338" s="4" t="s">
        <v>339</v>
      </c>
      <c r="B338" s="4">
        <v>162</v>
      </c>
      <c r="C338">
        <f t="shared" si="35"/>
        <v>0.81</v>
      </c>
      <c r="D338">
        <f t="shared" si="36"/>
        <v>334.7</v>
      </c>
      <c r="E338">
        <v>61.7</v>
      </c>
      <c r="G338">
        <f t="shared" si="37"/>
        <v>334.7</v>
      </c>
      <c r="H338" s="2">
        <f t="shared" si="38"/>
        <v>2.0192957746478872</v>
      </c>
      <c r="J338" s="2">
        <f t="shared" si="39"/>
        <v>2.987750224081267</v>
      </c>
      <c r="K338" s="3">
        <f t="shared" si="40"/>
        <v>1.3858862188724317</v>
      </c>
      <c r="M338">
        <f t="shared" si="41"/>
        <v>1.0198049969530774</v>
      </c>
    </row>
    <row r="339" spans="1:13" x14ac:dyDescent="0.25">
      <c r="A339" s="4" t="s">
        <v>340</v>
      </c>
      <c r="B339" s="4">
        <v>162</v>
      </c>
      <c r="C339">
        <f t="shared" si="35"/>
        <v>0.81</v>
      </c>
      <c r="D339">
        <f t="shared" si="36"/>
        <v>334.5</v>
      </c>
      <c r="E339">
        <v>61.5</v>
      </c>
      <c r="G339">
        <f t="shared" si="37"/>
        <v>334.5</v>
      </c>
      <c r="H339" s="2">
        <f t="shared" si="38"/>
        <v>2.0192957746478872</v>
      </c>
      <c r="J339" s="2">
        <f t="shared" si="39"/>
        <v>2.9895366218236172</v>
      </c>
      <c r="K339" s="3">
        <f t="shared" si="40"/>
        <v>1.3864839475214294</v>
      </c>
      <c r="M339">
        <f t="shared" si="41"/>
        <v>1.0191956124314443</v>
      </c>
    </row>
    <row r="340" spans="1:13" x14ac:dyDescent="0.25">
      <c r="A340" s="4" t="s">
        <v>341</v>
      </c>
      <c r="B340" s="4">
        <v>161</v>
      </c>
      <c r="C340">
        <f t="shared" si="35"/>
        <v>0.80500000000000005</v>
      </c>
      <c r="D340">
        <f t="shared" si="36"/>
        <v>334.5</v>
      </c>
      <c r="E340">
        <v>61.5</v>
      </c>
      <c r="G340">
        <f t="shared" si="37"/>
        <v>334.5</v>
      </c>
      <c r="H340" s="2">
        <f t="shared" si="38"/>
        <v>2.0068309859154931</v>
      </c>
      <c r="J340" s="2">
        <f t="shared" si="39"/>
        <v>2.9895366218236172</v>
      </c>
      <c r="K340" s="3">
        <f t="shared" si="40"/>
        <v>1.3741000070255878</v>
      </c>
      <c r="M340">
        <f t="shared" si="41"/>
        <v>1.0191956124314443</v>
      </c>
    </row>
    <row r="341" spans="1:13" x14ac:dyDescent="0.25">
      <c r="A341" s="4" t="s">
        <v>342</v>
      </c>
      <c r="B341" s="4">
        <v>161</v>
      </c>
      <c r="C341">
        <f t="shared" si="35"/>
        <v>0.80500000000000005</v>
      </c>
      <c r="D341">
        <f t="shared" si="36"/>
        <v>334.5</v>
      </c>
      <c r="E341">
        <v>61.5</v>
      </c>
      <c r="G341">
        <f t="shared" si="37"/>
        <v>334.5</v>
      </c>
      <c r="H341" s="2">
        <f t="shared" si="38"/>
        <v>2.0068309859154931</v>
      </c>
      <c r="J341" s="2">
        <f t="shared" si="39"/>
        <v>2.9895366218236172</v>
      </c>
      <c r="K341" s="3">
        <f t="shared" si="40"/>
        <v>1.3741000070255878</v>
      </c>
      <c r="M341">
        <f t="shared" si="41"/>
        <v>1.0191956124314443</v>
      </c>
    </row>
    <row r="342" spans="1:13" x14ac:dyDescent="0.25">
      <c r="A342" s="4" t="s">
        <v>343</v>
      </c>
      <c r="B342" s="4">
        <v>162</v>
      </c>
      <c r="C342">
        <f t="shared" si="35"/>
        <v>0.81</v>
      </c>
      <c r="D342">
        <f t="shared" si="36"/>
        <v>334.3</v>
      </c>
      <c r="E342">
        <v>61.3</v>
      </c>
      <c r="G342">
        <f t="shared" si="37"/>
        <v>334.3</v>
      </c>
      <c r="H342" s="2">
        <f t="shared" si="38"/>
        <v>2.0192957746478872</v>
      </c>
      <c r="J342" s="2">
        <f t="shared" si="39"/>
        <v>2.9913251570445705</v>
      </c>
      <c r="K342" s="3">
        <f t="shared" si="40"/>
        <v>1.3870820336636596</v>
      </c>
      <c r="M342">
        <f t="shared" si="41"/>
        <v>1.0185862279098112</v>
      </c>
    </row>
    <row r="343" spans="1:13" x14ac:dyDescent="0.25">
      <c r="A343" s="4" t="s">
        <v>344</v>
      </c>
      <c r="B343" s="4">
        <v>162</v>
      </c>
      <c r="C343">
        <f t="shared" si="35"/>
        <v>0.81</v>
      </c>
      <c r="D343">
        <f t="shared" si="36"/>
        <v>334.3</v>
      </c>
      <c r="E343">
        <v>61.3</v>
      </c>
      <c r="G343">
        <f t="shared" si="37"/>
        <v>334.3</v>
      </c>
      <c r="H343" s="2">
        <f t="shared" si="38"/>
        <v>2.0192957746478872</v>
      </c>
      <c r="J343" s="2">
        <f t="shared" si="39"/>
        <v>2.9913251570445705</v>
      </c>
      <c r="K343" s="3">
        <f t="shared" si="40"/>
        <v>1.3870820336636596</v>
      </c>
      <c r="M343">
        <f t="shared" si="41"/>
        <v>1.0185862279098112</v>
      </c>
    </row>
    <row r="344" spans="1:13" x14ac:dyDescent="0.25">
      <c r="A344" s="4" t="s">
        <v>345</v>
      </c>
      <c r="B344" s="4">
        <v>161</v>
      </c>
      <c r="C344">
        <f t="shared" si="35"/>
        <v>0.80500000000000005</v>
      </c>
      <c r="D344">
        <f t="shared" si="36"/>
        <v>334.3</v>
      </c>
      <c r="E344">
        <v>61.3</v>
      </c>
      <c r="G344">
        <f t="shared" si="37"/>
        <v>334.3</v>
      </c>
      <c r="H344" s="2">
        <f t="shared" si="38"/>
        <v>2.0068309859154931</v>
      </c>
      <c r="J344" s="2">
        <f t="shared" si="39"/>
        <v>2.9913251570445705</v>
      </c>
      <c r="K344" s="3">
        <f t="shared" si="40"/>
        <v>1.3746980931678179</v>
      </c>
      <c r="M344">
        <f t="shared" si="41"/>
        <v>1.0185862279098112</v>
      </c>
    </row>
    <row r="345" spans="1:13" x14ac:dyDescent="0.25">
      <c r="A345" s="4" t="s">
        <v>346</v>
      </c>
      <c r="B345" s="4">
        <v>161</v>
      </c>
      <c r="C345">
        <f t="shared" si="35"/>
        <v>0.80500000000000005</v>
      </c>
      <c r="D345">
        <f t="shared" si="36"/>
        <v>334.3</v>
      </c>
      <c r="E345">
        <v>61.3</v>
      </c>
      <c r="G345">
        <f t="shared" si="37"/>
        <v>334.3</v>
      </c>
      <c r="H345" s="2">
        <f t="shared" si="38"/>
        <v>2.0068309859154931</v>
      </c>
      <c r="J345" s="2">
        <f t="shared" si="39"/>
        <v>2.9913251570445705</v>
      </c>
      <c r="K345" s="3">
        <f t="shared" si="40"/>
        <v>1.3746980931678179</v>
      </c>
      <c r="M345">
        <f t="shared" si="41"/>
        <v>1.0185862279098112</v>
      </c>
    </row>
    <row r="346" spans="1:13" x14ac:dyDescent="0.25">
      <c r="A346" s="4" t="s">
        <v>347</v>
      </c>
      <c r="B346" s="4">
        <v>161</v>
      </c>
      <c r="C346">
        <f t="shared" si="35"/>
        <v>0.80500000000000005</v>
      </c>
      <c r="D346">
        <f t="shared" si="36"/>
        <v>334.1</v>
      </c>
      <c r="E346">
        <v>61.1</v>
      </c>
      <c r="G346">
        <f t="shared" si="37"/>
        <v>334.1</v>
      </c>
      <c r="H346" s="2">
        <f t="shared" si="38"/>
        <v>2.0068309859154931</v>
      </c>
      <c r="J346" s="2">
        <f t="shared" si="39"/>
        <v>2.9931158335827592</v>
      </c>
      <c r="K346" s="3">
        <f t="shared" si="40"/>
        <v>1.3752965372311601</v>
      </c>
      <c r="M346">
        <f t="shared" si="41"/>
        <v>1.017976843388178</v>
      </c>
    </row>
    <row r="347" spans="1:13" x14ac:dyDescent="0.25">
      <c r="A347" s="4" t="s">
        <v>348</v>
      </c>
      <c r="B347" s="4">
        <v>160</v>
      </c>
      <c r="C347">
        <f t="shared" si="35"/>
        <v>0.8</v>
      </c>
      <c r="D347">
        <f t="shared" si="36"/>
        <v>334.1</v>
      </c>
      <c r="E347">
        <v>61.1</v>
      </c>
      <c r="G347">
        <f t="shared" si="37"/>
        <v>334.1</v>
      </c>
      <c r="H347" s="2">
        <f t="shared" si="38"/>
        <v>1.9943661971830986</v>
      </c>
      <c r="J347" s="2">
        <f t="shared" si="39"/>
        <v>2.9931158335827592</v>
      </c>
      <c r="K347" s="3">
        <f t="shared" si="40"/>
        <v>1.3628354377298875</v>
      </c>
      <c r="M347">
        <f t="shared" si="41"/>
        <v>1.017976843388178</v>
      </c>
    </row>
    <row r="348" spans="1:13" x14ac:dyDescent="0.25">
      <c r="A348" s="4" t="s">
        <v>349</v>
      </c>
      <c r="B348" s="4">
        <v>160</v>
      </c>
      <c r="C348">
        <f t="shared" si="35"/>
        <v>0.8</v>
      </c>
      <c r="D348">
        <f t="shared" si="36"/>
        <v>334.1</v>
      </c>
      <c r="E348">
        <v>61.1</v>
      </c>
      <c r="G348">
        <f t="shared" si="37"/>
        <v>334.1</v>
      </c>
      <c r="H348" s="2">
        <f t="shared" si="38"/>
        <v>1.9943661971830986</v>
      </c>
      <c r="J348" s="2">
        <f t="shared" si="39"/>
        <v>2.9931158335827592</v>
      </c>
      <c r="K348" s="3">
        <f t="shared" si="40"/>
        <v>1.3628354377298875</v>
      </c>
      <c r="M348">
        <f t="shared" si="41"/>
        <v>1.017976843388178</v>
      </c>
    </row>
    <row r="349" spans="1:13" x14ac:dyDescent="0.25">
      <c r="A349" s="4" t="s">
        <v>350</v>
      </c>
      <c r="B349" s="4">
        <v>161</v>
      </c>
      <c r="C349">
        <f t="shared" si="35"/>
        <v>0.80500000000000005</v>
      </c>
      <c r="D349">
        <f t="shared" si="36"/>
        <v>333.9</v>
      </c>
      <c r="E349">
        <v>60.9</v>
      </c>
      <c r="G349">
        <f t="shared" si="37"/>
        <v>333.9</v>
      </c>
      <c r="H349" s="2">
        <f t="shared" si="38"/>
        <v>2.0068309859154931</v>
      </c>
      <c r="J349" s="2">
        <f t="shared" si="39"/>
        <v>2.994908655286014</v>
      </c>
      <c r="K349" s="3">
        <f t="shared" si="40"/>
        <v>1.3758953396442621</v>
      </c>
      <c r="M349">
        <f t="shared" si="41"/>
        <v>1.0173674588665447</v>
      </c>
    </row>
    <row r="350" spans="1:13" x14ac:dyDescent="0.25">
      <c r="A350" s="4" t="s">
        <v>351</v>
      </c>
      <c r="B350" s="4">
        <v>161</v>
      </c>
      <c r="C350">
        <f t="shared" si="35"/>
        <v>0.80500000000000005</v>
      </c>
      <c r="D350">
        <f t="shared" si="36"/>
        <v>333.9</v>
      </c>
      <c r="E350">
        <v>60.9</v>
      </c>
      <c r="G350">
        <f t="shared" si="37"/>
        <v>333.9</v>
      </c>
      <c r="H350" s="2">
        <f t="shared" si="38"/>
        <v>2.0068309859154931</v>
      </c>
      <c r="J350" s="2">
        <f t="shared" si="39"/>
        <v>2.994908655286014</v>
      </c>
      <c r="K350" s="3">
        <f t="shared" si="40"/>
        <v>1.3758953396442621</v>
      </c>
      <c r="M350">
        <f t="shared" si="41"/>
        <v>1.0173674588665447</v>
      </c>
    </row>
    <row r="351" spans="1:13" x14ac:dyDescent="0.25">
      <c r="A351" s="4" t="s">
        <v>352</v>
      </c>
      <c r="B351" s="4">
        <v>160</v>
      </c>
      <c r="C351">
        <f t="shared" si="35"/>
        <v>0.8</v>
      </c>
      <c r="D351">
        <f t="shared" si="36"/>
        <v>333.9</v>
      </c>
      <c r="E351">
        <v>60.9</v>
      </c>
      <c r="G351">
        <f t="shared" si="37"/>
        <v>333.9</v>
      </c>
      <c r="H351" s="2">
        <f t="shared" si="38"/>
        <v>1.9943661971830986</v>
      </c>
      <c r="J351" s="2">
        <f t="shared" si="39"/>
        <v>2.994908655286014</v>
      </c>
      <c r="K351" s="3">
        <f t="shared" si="40"/>
        <v>1.3634342401429898</v>
      </c>
      <c r="M351">
        <f t="shared" si="41"/>
        <v>1.0173674588665447</v>
      </c>
    </row>
    <row r="352" spans="1:13" x14ac:dyDescent="0.25">
      <c r="A352" s="4" t="s">
        <v>353</v>
      </c>
      <c r="B352" s="4">
        <v>161</v>
      </c>
      <c r="C352">
        <f t="shared" si="35"/>
        <v>0.80500000000000005</v>
      </c>
      <c r="D352">
        <f t="shared" si="36"/>
        <v>333.9</v>
      </c>
      <c r="E352">
        <v>60.9</v>
      </c>
      <c r="G352">
        <f t="shared" si="37"/>
        <v>333.9</v>
      </c>
      <c r="H352" s="2">
        <f t="shared" si="38"/>
        <v>2.0068309859154931</v>
      </c>
      <c r="J352" s="2">
        <f t="shared" si="39"/>
        <v>2.994908655286014</v>
      </c>
      <c r="K352" s="3">
        <f t="shared" si="40"/>
        <v>1.3758953396442621</v>
      </c>
      <c r="M352">
        <f t="shared" si="41"/>
        <v>1.0173674588665447</v>
      </c>
    </row>
    <row r="353" spans="1:13" x14ac:dyDescent="0.25">
      <c r="A353" s="4" t="s">
        <v>354</v>
      </c>
      <c r="B353" s="4">
        <v>161</v>
      </c>
      <c r="C353">
        <f t="shared" si="35"/>
        <v>0.80500000000000005</v>
      </c>
      <c r="D353">
        <f t="shared" si="36"/>
        <v>333.9</v>
      </c>
      <c r="E353">
        <v>60.9</v>
      </c>
      <c r="G353">
        <f t="shared" si="37"/>
        <v>333.9</v>
      </c>
      <c r="H353" s="2">
        <f t="shared" si="38"/>
        <v>2.0068309859154931</v>
      </c>
      <c r="J353" s="2">
        <f t="shared" si="39"/>
        <v>2.994908655286014</v>
      </c>
      <c r="K353" s="3">
        <f t="shared" si="40"/>
        <v>1.3758953396442621</v>
      </c>
      <c r="M353">
        <f t="shared" si="41"/>
        <v>1.0173674588665447</v>
      </c>
    </row>
    <row r="354" spans="1:13" x14ac:dyDescent="0.25">
      <c r="A354" s="4" t="s">
        <v>355</v>
      </c>
      <c r="B354" s="4">
        <v>160</v>
      </c>
      <c r="C354">
        <f t="shared" si="35"/>
        <v>0.8</v>
      </c>
      <c r="D354">
        <f t="shared" si="36"/>
        <v>333.9</v>
      </c>
      <c r="E354">
        <v>60.9</v>
      </c>
      <c r="G354">
        <f t="shared" si="37"/>
        <v>333.9</v>
      </c>
      <c r="H354" s="2">
        <f t="shared" si="38"/>
        <v>1.9943661971830986</v>
      </c>
      <c r="J354" s="2">
        <f t="shared" si="39"/>
        <v>2.994908655286014</v>
      </c>
      <c r="K354" s="3">
        <f t="shared" si="40"/>
        <v>1.3634342401429898</v>
      </c>
      <c r="M354">
        <f t="shared" si="41"/>
        <v>1.0173674588665447</v>
      </c>
    </row>
    <row r="355" spans="1:13" x14ac:dyDescent="0.25">
      <c r="A355" s="4" t="s">
        <v>356</v>
      </c>
      <c r="B355" s="4">
        <v>159</v>
      </c>
      <c r="C355">
        <f t="shared" si="35"/>
        <v>0.79500000000000004</v>
      </c>
      <c r="D355">
        <f t="shared" si="36"/>
        <v>333.7</v>
      </c>
      <c r="E355">
        <v>60.7</v>
      </c>
      <c r="G355">
        <f t="shared" si="37"/>
        <v>333.7</v>
      </c>
      <c r="H355" s="2">
        <f t="shared" si="38"/>
        <v>1.9819014084507043</v>
      </c>
      <c r="J355" s="2">
        <f t="shared" si="39"/>
        <v>2.9967036260113877</v>
      </c>
      <c r="K355" s="3">
        <f t="shared" si="40"/>
        <v>1.3514941753080794</v>
      </c>
      <c r="M355">
        <f t="shared" si="41"/>
        <v>1.0167580743449116</v>
      </c>
    </row>
    <row r="356" spans="1:13" x14ac:dyDescent="0.25">
      <c r="A356" s="4" t="s">
        <v>357</v>
      </c>
      <c r="B356" s="4">
        <v>160</v>
      </c>
      <c r="C356">
        <f t="shared" si="35"/>
        <v>0.8</v>
      </c>
      <c r="D356">
        <f t="shared" si="36"/>
        <v>333.7</v>
      </c>
      <c r="E356">
        <v>60.7</v>
      </c>
      <c r="G356">
        <f t="shared" si="37"/>
        <v>333.7</v>
      </c>
      <c r="H356" s="2">
        <f t="shared" si="38"/>
        <v>1.9943661971830986</v>
      </c>
      <c r="J356" s="2">
        <f t="shared" si="39"/>
        <v>2.9967036260113877</v>
      </c>
      <c r="K356" s="3">
        <f t="shared" si="40"/>
        <v>1.3640334013352702</v>
      </c>
      <c r="M356">
        <f t="shared" si="41"/>
        <v>1.0167580743449116</v>
      </c>
    </row>
    <row r="357" spans="1:13" x14ac:dyDescent="0.25">
      <c r="A357" s="4" t="s">
        <v>358</v>
      </c>
      <c r="B357" s="4">
        <v>159</v>
      </c>
      <c r="C357">
        <f t="shared" si="35"/>
        <v>0.79500000000000004</v>
      </c>
      <c r="D357">
        <f t="shared" si="36"/>
        <v>333.7</v>
      </c>
      <c r="E357">
        <v>60.7</v>
      </c>
      <c r="G357">
        <f t="shared" si="37"/>
        <v>333.7</v>
      </c>
      <c r="H357" s="2">
        <f t="shared" si="38"/>
        <v>1.9819014084507043</v>
      </c>
      <c r="J357" s="2">
        <f t="shared" si="39"/>
        <v>2.9967036260113877</v>
      </c>
      <c r="K357" s="3">
        <f t="shared" si="40"/>
        <v>1.3514941753080794</v>
      </c>
      <c r="M357">
        <f t="shared" si="41"/>
        <v>1.0167580743449116</v>
      </c>
    </row>
    <row r="358" spans="1:13" x14ac:dyDescent="0.25">
      <c r="A358" s="4" t="s">
        <v>359</v>
      </c>
      <c r="B358" s="4">
        <v>160</v>
      </c>
      <c r="C358">
        <f t="shared" si="35"/>
        <v>0.8</v>
      </c>
      <c r="D358">
        <f t="shared" si="36"/>
        <v>333.6</v>
      </c>
      <c r="E358">
        <v>60.6</v>
      </c>
      <c r="G358">
        <f t="shared" si="37"/>
        <v>333.6</v>
      </c>
      <c r="H358" s="2">
        <f t="shared" si="38"/>
        <v>1.9943661971830986</v>
      </c>
      <c r="J358" s="2">
        <f t="shared" si="39"/>
        <v>2.9976019184652278</v>
      </c>
      <c r="K358" s="3">
        <f t="shared" si="40"/>
        <v>1.3643331166080066</v>
      </c>
      <c r="M358">
        <f t="shared" si="41"/>
        <v>1.0164533820840951</v>
      </c>
    </row>
    <row r="359" spans="1:13" x14ac:dyDescent="0.25">
      <c r="A359" s="4" t="s">
        <v>360</v>
      </c>
      <c r="B359" s="4">
        <v>159</v>
      </c>
      <c r="C359">
        <f t="shared" si="35"/>
        <v>0.79500000000000004</v>
      </c>
      <c r="D359">
        <f t="shared" si="36"/>
        <v>333.6</v>
      </c>
      <c r="E359">
        <v>60.6</v>
      </c>
      <c r="G359">
        <f t="shared" si="37"/>
        <v>333.6</v>
      </c>
      <c r="H359" s="2">
        <f t="shared" si="38"/>
        <v>1.9819014084507043</v>
      </c>
      <c r="J359" s="2">
        <f t="shared" si="39"/>
        <v>2.9976019184652278</v>
      </c>
      <c r="K359" s="3">
        <f t="shared" si="40"/>
        <v>1.351793890580816</v>
      </c>
      <c r="M359">
        <f t="shared" si="41"/>
        <v>1.0164533820840951</v>
      </c>
    </row>
    <row r="360" spans="1:13" x14ac:dyDescent="0.25">
      <c r="A360" s="4" t="s">
        <v>361</v>
      </c>
      <c r="B360" s="4">
        <v>159</v>
      </c>
      <c r="C360">
        <f t="shared" si="35"/>
        <v>0.79500000000000004</v>
      </c>
      <c r="D360">
        <f t="shared" si="36"/>
        <v>333.6</v>
      </c>
      <c r="E360">
        <v>60.6</v>
      </c>
      <c r="G360">
        <f t="shared" si="37"/>
        <v>333.6</v>
      </c>
      <c r="H360" s="2">
        <f t="shared" si="38"/>
        <v>1.9819014084507043</v>
      </c>
      <c r="J360" s="2">
        <f t="shared" si="39"/>
        <v>2.9976019184652278</v>
      </c>
      <c r="K360" s="3">
        <f t="shared" si="40"/>
        <v>1.351793890580816</v>
      </c>
      <c r="M360">
        <f t="shared" si="41"/>
        <v>1.0164533820840951</v>
      </c>
    </row>
    <row r="361" spans="1:13" x14ac:dyDescent="0.25">
      <c r="A361" s="4" t="s">
        <v>362</v>
      </c>
      <c r="B361" s="4">
        <v>158</v>
      </c>
      <c r="C361">
        <f t="shared" si="35"/>
        <v>0.79</v>
      </c>
      <c r="D361">
        <f t="shared" si="36"/>
        <v>333.6</v>
      </c>
      <c r="E361">
        <v>60.6</v>
      </c>
      <c r="G361">
        <f t="shared" si="37"/>
        <v>333.6</v>
      </c>
      <c r="H361" s="2">
        <f t="shared" si="38"/>
        <v>1.96943661971831</v>
      </c>
      <c r="J361" s="2">
        <f t="shared" si="39"/>
        <v>2.9976019184652278</v>
      </c>
      <c r="K361" s="3">
        <f t="shared" si="40"/>
        <v>1.3391755521942865</v>
      </c>
      <c r="M361">
        <f t="shared" si="41"/>
        <v>1.0164533820840951</v>
      </c>
    </row>
    <row r="362" spans="1:13" x14ac:dyDescent="0.25">
      <c r="A362" s="4" t="s">
        <v>363</v>
      </c>
      <c r="B362" s="4">
        <v>158</v>
      </c>
      <c r="C362">
        <f t="shared" si="35"/>
        <v>0.79</v>
      </c>
      <c r="D362">
        <f t="shared" si="36"/>
        <v>333.4</v>
      </c>
      <c r="E362">
        <v>60.4</v>
      </c>
      <c r="G362">
        <f t="shared" si="37"/>
        <v>333.4</v>
      </c>
      <c r="H362" s="2">
        <f t="shared" si="38"/>
        <v>1.96943661971831</v>
      </c>
      <c r="J362" s="2">
        <f t="shared" si="39"/>
        <v>2.9994001199760052</v>
      </c>
      <c r="K362" s="3">
        <f t="shared" si="40"/>
        <v>1.3397752523621849</v>
      </c>
      <c r="M362">
        <f t="shared" si="41"/>
        <v>1.0158439975624618</v>
      </c>
    </row>
    <row r="363" spans="1:13" x14ac:dyDescent="0.25">
      <c r="A363" s="4" t="s">
        <v>364</v>
      </c>
      <c r="B363" s="4">
        <v>158</v>
      </c>
      <c r="C363">
        <f t="shared" si="35"/>
        <v>0.79</v>
      </c>
      <c r="D363">
        <f t="shared" si="36"/>
        <v>333.4</v>
      </c>
      <c r="E363">
        <v>60.4</v>
      </c>
      <c r="G363">
        <f t="shared" si="37"/>
        <v>333.4</v>
      </c>
      <c r="H363" s="2">
        <f t="shared" si="38"/>
        <v>1.96943661971831</v>
      </c>
      <c r="J363" s="2">
        <f t="shared" si="39"/>
        <v>2.9994001199760052</v>
      </c>
      <c r="K363" s="3">
        <f t="shared" si="40"/>
        <v>1.3397752523621849</v>
      </c>
      <c r="M363">
        <f t="shared" si="41"/>
        <v>1.0158439975624618</v>
      </c>
    </row>
    <row r="364" spans="1:13" x14ac:dyDescent="0.25">
      <c r="A364" s="4" t="s">
        <v>365</v>
      </c>
      <c r="B364" s="4">
        <v>158</v>
      </c>
      <c r="C364">
        <f t="shared" si="35"/>
        <v>0.79</v>
      </c>
      <c r="D364">
        <f t="shared" si="36"/>
        <v>333.4</v>
      </c>
      <c r="E364">
        <v>60.4</v>
      </c>
      <c r="G364">
        <f t="shared" si="37"/>
        <v>333.4</v>
      </c>
      <c r="H364" s="2">
        <f t="shared" si="38"/>
        <v>1.96943661971831</v>
      </c>
      <c r="J364" s="2">
        <f t="shared" si="39"/>
        <v>2.9994001199760052</v>
      </c>
      <c r="K364" s="3">
        <f t="shared" si="40"/>
        <v>1.3397752523621849</v>
      </c>
      <c r="M364">
        <f t="shared" si="41"/>
        <v>1.0158439975624618</v>
      </c>
    </row>
    <row r="365" spans="1:13" x14ac:dyDescent="0.25">
      <c r="A365" s="4" t="s">
        <v>366</v>
      </c>
      <c r="B365" s="4">
        <v>158</v>
      </c>
      <c r="C365">
        <f t="shared" si="35"/>
        <v>0.79</v>
      </c>
      <c r="D365">
        <f t="shared" si="36"/>
        <v>333.2</v>
      </c>
      <c r="E365">
        <v>60.2</v>
      </c>
      <c r="G365">
        <f t="shared" si="37"/>
        <v>333.2</v>
      </c>
      <c r="H365" s="2">
        <f t="shared" si="38"/>
        <v>1.96943661971831</v>
      </c>
      <c r="J365" s="2">
        <f t="shared" si="39"/>
        <v>3.0012004801920771</v>
      </c>
      <c r="K365" s="3">
        <f t="shared" si="40"/>
        <v>1.3403753123861908</v>
      </c>
      <c r="M365">
        <f t="shared" si="41"/>
        <v>1.0152346130408287</v>
      </c>
    </row>
    <row r="366" spans="1:13" x14ac:dyDescent="0.25">
      <c r="A366" s="4" t="s">
        <v>367</v>
      </c>
      <c r="B366" s="4">
        <v>158</v>
      </c>
      <c r="C366">
        <f t="shared" si="35"/>
        <v>0.79</v>
      </c>
      <c r="D366">
        <f t="shared" si="36"/>
        <v>333.2</v>
      </c>
      <c r="E366">
        <v>60.2</v>
      </c>
      <c r="G366">
        <f t="shared" si="37"/>
        <v>333.2</v>
      </c>
      <c r="H366" s="2">
        <f t="shared" si="38"/>
        <v>1.96943661971831</v>
      </c>
      <c r="J366" s="2">
        <f t="shared" si="39"/>
        <v>3.0012004801920771</v>
      </c>
      <c r="K366" s="3">
        <f t="shared" si="40"/>
        <v>1.3403753123861908</v>
      </c>
      <c r="M366">
        <f t="shared" si="41"/>
        <v>1.0152346130408287</v>
      </c>
    </row>
    <row r="367" spans="1:13" x14ac:dyDescent="0.25">
      <c r="A367" s="4" t="s">
        <v>368</v>
      </c>
      <c r="B367" s="4">
        <v>158</v>
      </c>
      <c r="C367">
        <f t="shared" si="35"/>
        <v>0.79</v>
      </c>
      <c r="D367">
        <f t="shared" si="36"/>
        <v>333.2</v>
      </c>
      <c r="E367">
        <v>60.2</v>
      </c>
      <c r="G367">
        <f t="shared" si="37"/>
        <v>333.2</v>
      </c>
      <c r="H367" s="2">
        <f t="shared" si="38"/>
        <v>1.96943661971831</v>
      </c>
      <c r="J367" s="2">
        <f t="shared" si="39"/>
        <v>3.0012004801920771</v>
      </c>
      <c r="K367" s="3">
        <f t="shared" si="40"/>
        <v>1.3403753123861908</v>
      </c>
      <c r="M367">
        <f t="shared" si="41"/>
        <v>1.0152346130408287</v>
      </c>
    </row>
    <row r="368" spans="1:13" x14ac:dyDescent="0.25">
      <c r="A368" s="4" t="s">
        <v>369</v>
      </c>
      <c r="B368" s="4">
        <v>156</v>
      </c>
      <c r="C368">
        <f t="shared" si="35"/>
        <v>0.78</v>
      </c>
      <c r="D368">
        <f t="shared" si="36"/>
        <v>333.2</v>
      </c>
      <c r="E368">
        <v>60.2</v>
      </c>
      <c r="G368">
        <f t="shared" si="37"/>
        <v>333.2</v>
      </c>
      <c r="H368" s="2">
        <f t="shared" si="38"/>
        <v>1.9445070422535211</v>
      </c>
      <c r="J368" s="2">
        <f t="shared" si="39"/>
        <v>3.0012004801920771</v>
      </c>
      <c r="K368" s="3">
        <f t="shared" si="40"/>
        <v>1.3148972608313312</v>
      </c>
      <c r="M368">
        <f t="shared" si="41"/>
        <v>1.0152346130408287</v>
      </c>
    </row>
    <row r="369" spans="1:13" x14ac:dyDescent="0.25">
      <c r="A369" s="4" t="s">
        <v>370</v>
      </c>
      <c r="B369" s="4">
        <v>158</v>
      </c>
      <c r="C369">
        <f t="shared" si="35"/>
        <v>0.79</v>
      </c>
      <c r="D369">
        <f t="shared" si="36"/>
        <v>333.2</v>
      </c>
      <c r="E369">
        <v>60.2</v>
      </c>
      <c r="G369">
        <f t="shared" si="37"/>
        <v>333.2</v>
      </c>
      <c r="H369" s="2">
        <f t="shared" si="38"/>
        <v>1.96943661971831</v>
      </c>
      <c r="J369" s="2">
        <f t="shared" si="39"/>
        <v>3.0012004801920771</v>
      </c>
      <c r="K369" s="3">
        <f t="shared" si="40"/>
        <v>1.3403753123861908</v>
      </c>
      <c r="M369">
        <f t="shared" si="41"/>
        <v>1.0152346130408287</v>
      </c>
    </row>
    <row r="370" spans="1:13" x14ac:dyDescent="0.25">
      <c r="A370" s="4" t="s">
        <v>371</v>
      </c>
      <c r="B370" s="4">
        <v>157</v>
      </c>
      <c r="C370">
        <f t="shared" si="35"/>
        <v>0.78500000000000003</v>
      </c>
      <c r="D370">
        <f t="shared" si="36"/>
        <v>333.2</v>
      </c>
      <c r="E370">
        <v>60.2</v>
      </c>
      <c r="G370">
        <f t="shared" si="37"/>
        <v>333.2</v>
      </c>
      <c r="H370" s="2">
        <f t="shared" si="38"/>
        <v>1.9569718309859154</v>
      </c>
      <c r="J370" s="2">
        <f t="shared" si="39"/>
        <v>3.0012004801920771</v>
      </c>
      <c r="K370" s="3">
        <f t="shared" si="40"/>
        <v>1.3276768570288731</v>
      </c>
      <c r="M370">
        <f t="shared" si="41"/>
        <v>1.0152346130408287</v>
      </c>
    </row>
    <row r="371" spans="1:13" x14ac:dyDescent="0.25">
      <c r="A371" s="4" t="s">
        <v>372</v>
      </c>
      <c r="B371" s="4">
        <v>157</v>
      </c>
      <c r="C371">
        <f t="shared" si="35"/>
        <v>0.78500000000000003</v>
      </c>
      <c r="D371">
        <f t="shared" si="36"/>
        <v>333.1</v>
      </c>
      <c r="E371">
        <v>60.1</v>
      </c>
      <c r="G371">
        <f t="shared" si="37"/>
        <v>333.1</v>
      </c>
      <c r="H371" s="2">
        <f t="shared" si="38"/>
        <v>1.9569718309859154</v>
      </c>
      <c r="J371" s="2">
        <f t="shared" si="39"/>
        <v>3.0021014710297207</v>
      </c>
      <c r="K371" s="3">
        <f t="shared" si="40"/>
        <v>1.3279770221219267</v>
      </c>
      <c r="M371">
        <f t="shared" si="41"/>
        <v>1.0149299207800122</v>
      </c>
    </row>
    <row r="372" spans="1:13" x14ac:dyDescent="0.25">
      <c r="A372" s="4" t="s">
        <v>373</v>
      </c>
      <c r="B372" s="4">
        <v>157</v>
      </c>
      <c r="C372">
        <f t="shared" si="35"/>
        <v>0.78500000000000003</v>
      </c>
      <c r="D372">
        <f t="shared" si="36"/>
        <v>333.1</v>
      </c>
      <c r="E372">
        <v>60.1</v>
      </c>
      <c r="G372">
        <f t="shared" si="37"/>
        <v>333.1</v>
      </c>
      <c r="H372" s="2">
        <f t="shared" si="38"/>
        <v>1.9569718309859154</v>
      </c>
      <c r="J372" s="2">
        <f t="shared" si="39"/>
        <v>3.0021014710297207</v>
      </c>
      <c r="K372" s="3">
        <f t="shared" si="40"/>
        <v>1.3279770221219267</v>
      </c>
      <c r="M372">
        <f t="shared" si="41"/>
        <v>1.0149299207800122</v>
      </c>
    </row>
    <row r="373" spans="1:13" x14ac:dyDescent="0.25">
      <c r="A373" s="4" t="s">
        <v>374</v>
      </c>
      <c r="B373" s="4">
        <v>156</v>
      </c>
      <c r="C373">
        <f t="shared" si="35"/>
        <v>0.78</v>
      </c>
      <c r="D373">
        <f t="shared" si="36"/>
        <v>333.1</v>
      </c>
      <c r="E373">
        <v>60.1</v>
      </c>
      <c r="G373">
        <f t="shared" si="37"/>
        <v>333.1</v>
      </c>
      <c r="H373" s="2">
        <f t="shared" si="38"/>
        <v>1.9445070422535211</v>
      </c>
      <c r="J373" s="2">
        <f t="shared" si="39"/>
        <v>3.0021014710297207</v>
      </c>
      <c r="K373" s="3">
        <f t="shared" si="40"/>
        <v>1.3151974259243848</v>
      </c>
      <c r="M373">
        <f t="shared" si="41"/>
        <v>1.0149299207800122</v>
      </c>
    </row>
    <row r="374" spans="1:13" x14ac:dyDescent="0.25">
      <c r="A374" s="4" t="s">
        <v>375</v>
      </c>
      <c r="B374" s="4">
        <v>157</v>
      </c>
      <c r="C374">
        <f t="shared" si="35"/>
        <v>0.78500000000000003</v>
      </c>
      <c r="D374">
        <f t="shared" si="36"/>
        <v>333</v>
      </c>
      <c r="E374">
        <v>60</v>
      </c>
      <c r="G374">
        <f t="shared" si="37"/>
        <v>333</v>
      </c>
      <c r="H374" s="2">
        <f t="shared" si="38"/>
        <v>1.9569718309859154</v>
      </c>
      <c r="J374" s="2">
        <f t="shared" si="39"/>
        <v>3.0030030030030028</v>
      </c>
      <c r="K374" s="3">
        <f t="shared" si="40"/>
        <v>1.3282772773411169</v>
      </c>
      <c r="M374">
        <f t="shared" si="41"/>
        <v>1.0146252285191957</v>
      </c>
    </row>
    <row r="375" spans="1:13" x14ac:dyDescent="0.25">
      <c r="A375" s="4" t="s">
        <v>376</v>
      </c>
      <c r="B375" s="4">
        <v>158</v>
      </c>
      <c r="C375">
        <f t="shared" si="35"/>
        <v>0.79</v>
      </c>
      <c r="D375">
        <f t="shared" si="36"/>
        <v>333</v>
      </c>
      <c r="E375">
        <v>60</v>
      </c>
      <c r="G375">
        <f t="shared" si="37"/>
        <v>333</v>
      </c>
      <c r="H375" s="2">
        <f t="shared" si="38"/>
        <v>1.96943661971831</v>
      </c>
      <c r="J375" s="2">
        <f t="shared" si="39"/>
        <v>3.0030030030030028</v>
      </c>
      <c r="K375" s="3">
        <f t="shared" si="40"/>
        <v>1.3409757326984344</v>
      </c>
      <c r="M375">
        <f t="shared" si="41"/>
        <v>1.0146252285191957</v>
      </c>
    </row>
    <row r="376" spans="1:13" x14ac:dyDescent="0.25">
      <c r="A376" s="4" t="s">
        <v>377</v>
      </c>
      <c r="B376" s="4">
        <v>157</v>
      </c>
      <c r="C376">
        <f t="shared" si="35"/>
        <v>0.78500000000000003</v>
      </c>
      <c r="D376">
        <f t="shared" si="36"/>
        <v>333</v>
      </c>
      <c r="E376">
        <v>60</v>
      </c>
      <c r="G376">
        <f t="shared" si="37"/>
        <v>333</v>
      </c>
      <c r="H376" s="2">
        <f t="shared" si="38"/>
        <v>1.9569718309859154</v>
      </c>
      <c r="J376" s="2">
        <f t="shared" si="39"/>
        <v>3.0030030030030028</v>
      </c>
      <c r="K376" s="3">
        <f t="shared" si="40"/>
        <v>1.3282772773411169</v>
      </c>
      <c r="M376">
        <f t="shared" si="41"/>
        <v>1.0146252285191957</v>
      </c>
    </row>
    <row r="377" spans="1:13" x14ac:dyDescent="0.25">
      <c r="A377" s="4" t="s">
        <v>378</v>
      </c>
      <c r="B377" s="4">
        <v>157</v>
      </c>
      <c r="C377">
        <f t="shared" si="35"/>
        <v>0.78500000000000003</v>
      </c>
      <c r="D377">
        <f t="shared" si="36"/>
        <v>333</v>
      </c>
      <c r="E377">
        <v>60</v>
      </c>
      <c r="G377">
        <f t="shared" si="37"/>
        <v>333</v>
      </c>
      <c r="H377" s="2">
        <f t="shared" si="38"/>
        <v>1.9569718309859154</v>
      </c>
      <c r="J377" s="2">
        <f t="shared" si="39"/>
        <v>3.0030030030030028</v>
      </c>
      <c r="K377" s="3">
        <f t="shared" si="40"/>
        <v>1.3282772773411169</v>
      </c>
      <c r="M377">
        <f t="shared" si="41"/>
        <v>1.0146252285191957</v>
      </c>
    </row>
    <row r="378" spans="1:13" x14ac:dyDescent="0.25">
      <c r="A378" s="4" t="s">
        <v>379</v>
      </c>
      <c r="B378" s="4">
        <v>157</v>
      </c>
      <c r="C378">
        <f t="shared" si="35"/>
        <v>0.78500000000000003</v>
      </c>
      <c r="D378">
        <f t="shared" si="36"/>
        <v>333</v>
      </c>
      <c r="E378">
        <v>60</v>
      </c>
      <c r="G378">
        <f t="shared" si="37"/>
        <v>333</v>
      </c>
      <c r="H378" s="2">
        <f t="shared" si="38"/>
        <v>1.9569718309859154</v>
      </c>
      <c r="J378" s="2">
        <f t="shared" si="39"/>
        <v>3.0030030030030028</v>
      </c>
      <c r="K378" s="3">
        <f t="shared" si="40"/>
        <v>1.3282772773411169</v>
      </c>
      <c r="M378">
        <f t="shared" si="41"/>
        <v>1.0146252285191957</v>
      </c>
    </row>
    <row r="379" spans="1:13" x14ac:dyDescent="0.25">
      <c r="A379" s="4" t="s">
        <v>380</v>
      </c>
      <c r="B379" s="4">
        <v>157</v>
      </c>
      <c r="C379">
        <f t="shared" si="35"/>
        <v>0.78500000000000003</v>
      </c>
      <c r="D379">
        <f t="shared" si="36"/>
        <v>333</v>
      </c>
      <c r="E379">
        <v>60</v>
      </c>
      <c r="G379">
        <f t="shared" si="37"/>
        <v>333</v>
      </c>
      <c r="H379" s="2">
        <f t="shared" si="38"/>
        <v>1.9569718309859154</v>
      </c>
      <c r="J379" s="2">
        <f t="shared" si="39"/>
        <v>3.0030030030030028</v>
      </c>
      <c r="K379" s="3">
        <f t="shared" si="40"/>
        <v>1.3282772773411169</v>
      </c>
      <c r="M379">
        <f t="shared" si="41"/>
        <v>1.0146252285191957</v>
      </c>
    </row>
    <row r="380" spans="1:13" x14ac:dyDescent="0.25">
      <c r="A380" s="4" t="s">
        <v>381</v>
      </c>
      <c r="B380" s="4">
        <v>157</v>
      </c>
      <c r="C380">
        <f t="shared" si="35"/>
        <v>0.78500000000000003</v>
      </c>
      <c r="D380">
        <f t="shared" si="36"/>
        <v>333</v>
      </c>
      <c r="E380">
        <v>60</v>
      </c>
      <c r="G380">
        <f t="shared" si="37"/>
        <v>333</v>
      </c>
      <c r="H380" s="2">
        <f t="shared" si="38"/>
        <v>1.9569718309859154</v>
      </c>
      <c r="J380" s="2">
        <f t="shared" si="39"/>
        <v>3.0030030030030028</v>
      </c>
      <c r="K380" s="3">
        <f t="shared" si="40"/>
        <v>1.3282772773411169</v>
      </c>
      <c r="M380">
        <f t="shared" si="41"/>
        <v>1.0146252285191957</v>
      </c>
    </row>
    <row r="381" spans="1:13" x14ac:dyDescent="0.25">
      <c r="A381" s="4" t="s">
        <v>382</v>
      </c>
      <c r="B381" s="4">
        <v>156</v>
      </c>
      <c r="C381">
        <f t="shared" si="35"/>
        <v>0.78</v>
      </c>
      <c r="D381">
        <f t="shared" si="36"/>
        <v>332.9</v>
      </c>
      <c r="E381">
        <v>59.9</v>
      </c>
      <c r="G381">
        <f t="shared" si="37"/>
        <v>332.9</v>
      </c>
      <c r="H381" s="2">
        <f t="shared" si="38"/>
        <v>1.9445070422535211</v>
      </c>
      <c r="J381" s="2">
        <f t="shared" si="39"/>
        <v>3.0039050765995796</v>
      </c>
      <c r="K381" s="3">
        <f t="shared" si="40"/>
        <v>1.3157980265430396</v>
      </c>
      <c r="M381">
        <f t="shared" si="41"/>
        <v>1.0143205362583789</v>
      </c>
    </row>
    <row r="382" spans="1:13" x14ac:dyDescent="0.25">
      <c r="A382" s="4" t="s">
        <v>383</v>
      </c>
      <c r="B382" s="4">
        <v>156</v>
      </c>
      <c r="C382">
        <f t="shared" si="35"/>
        <v>0.78</v>
      </c>
      <c r="D382">
        <f t="shared" si="36"/>
        <v>332.9</v>
      </c>
      <c r="E382">
        <v>59.9</v>
      </c>
      <c r="G382">
        <f t="shared" si="37"/>
        <v>332.9</v>
      </c>
      <c r="H382" s="2">
        <f t="shared" si="38"/>
        <v>1.9445070422535211</v>
      </c>
      <c r="J382" s="2">
        <f t="shared" si="39"/>
        <v>3.0039050765995796</v>
      </c>
      <c r="K382" s="3">
        <f t="shared" si="40"/>
        <v>1.3157980265430396</v>
      </c>
      <c r="M382">
        <f t="shared" si="41"/>
        <v>1.0143205362583789</v>
      </c>
    </row>
    <row r="383" spans="1:13" x14ac:dyDescent="0.25">
      <c r="A383" s="4" t="s">
        <v>384</v>
      </c>
      <c r="B383" s="4">
        <v>156</v>
      </c>
      <c r="C383">
        <f t="shared" si="35"/>
        <v>0.78</v>
      </c>
      <c r="D383">
        <f t="shared" si="36"/>
        <v>332.9</v>
      </c>
      <c r="E383">
        <v>59.9</v>
      </c>
      <c r="G383">
        <f t="shared" si="37"/>
        <v>332.9</v>
      </c>
      <c r="H383" s="2">
        <f t="shared" si="38"/>
        <v>1.9445070422535211</v>
      </c>
      <c r="J383" s="2">
        <f t="shared" si="39"/>
        <v>3.0039050765995796</v>
      </c>
      <c r="K383" s="3">
        <f t="shared" si="40"/>
        <v>1.3157980265430396</v>
      </c>
      <c r="M383">
        <f t="shared" si="41"/>
        <v>1.0143205362583789</v>
      </c>
    </row>
    <row r="384" spans="1:13" x14ac:dyDescent="0.25">
      <c r="A384" s="4" t="s">
        <v>385</v>
      </c>
      <c r="B384" s="4">
        <v>156</v>
      </c>
      <c r="C384">
        <f t="shared" si="35"/>
        <v>0.78</v>
      </c>
      <c r="D384">
        <f t="shared" si="36"/>
        <v>332.5</v>
      </c>
      <c r="E384">
        <v>59.5</v>
      </c>
      <c r="G384">
        <f t="shared" si="37"/>
        <v>332.5</v>
      </c>
      <c r="H384" s="2">
        <f t="shared" si="38"/>
        <v>1.9445070422535211</v>
      </c>
      <c r="J384" s="2">
        <f t="shared" si="39"/>
        <v>3.007518796992481</v>
      </c>
      <c r="K384" s="3">
        <f t="shared" si="40"/>
        <v>1.3170003110281099</v>
      </c>
      <c r="M384">
        <f t="shared" si="41"/>
        <v>1.0131017672151128</v>
      </c>
    </row>
    <row r="385" spans="1:13" x14ac:dyDescent="0.25">
      <c r="A385" s="4" t="s">
        <v>386</v>
      </c>
      <c r="B385" s="4">
        <v>155</v>
      </c>
      <c r="C385">
        <f t="shared" si="35"/>
        <v>0.77500000000000002</v>
      </c>
      <c r="D385">
        <f t="shared" si="36"/>
        <v>332.5</v>
      </c>
      <c r="E385">
        <v>59.5</v>
      </c>
      <c r="G385">
        <f t="shared" si="37"/>
        <v>332.5</v>
      </c>
      <c r="H385" s="2">
        <f t="shared" si="38"/>
        <v>1.932042253521127</v>
      </c>
      <c r="J385" s="2">
        <f t="shared" si="39"/>
        <v>3.007518796992481</v>
      </c>
      <c r="K385" s="3">
        <f t="shared" si="40"/>
        <v>1.3041385303675292</v>
      </c>
      <c r="M385">
        <f t="shared" si="41"/>
        <v>1.0131017672151128</v>
      </c>
    </row>
    <row r="386" spans="1:13" x14ac:dyDescent="0.25">
      <c r="A386" s="4" t="s">
        <v>387</v>
      </c>
      <c r="B386" s="4">
        <v>155</v>
      </c>
      <c r="C386">
        <f t="shared" si="35"/>
        <v>0.77500000000000002</v>
      </c>
      <c r="D386">
        <f t="shared" si="36"/>
        <v>332.5</v>
      </c>
      <c r="E386">
        <v>59.5</v>
      </c>
      <c r="G386">
        <f t="shared" si="37"/>
        <v>332.5</v>
      </c>
      <c r="H386" s="2">
        <f t="shared" si="38"/>
        <v>1.932042253521127</v>
      </c>
      <c r="J386" s="2">
        <f t="shared" si="39"/>
        <v>3.007518796992481</v>
      </c>
      <c r="K386" s="3">
        <f t="shared" si="40"/>
        <v>1.3041385303675292</v>
      </c>
      <c r="M386">
        <f t="shared" si="41"/>
        <v>1.0131017672151128</v>
      </c>
    </row>
    <row r="387" spans="1:13" x14ac:dyDescent="0.25">
      <c r="A387" s="4" t="s">
        <v>388</v>
      </c>
      <c r="B387" s="4">
        <v>153</v>
      </c>
      <c r="C387">
        <f t="shared" si="35"/>
        <v>0.76500000000000001</v>
      </c>
      <c r="D387">
        <f t="shared" si="36"/>
        <v>332.3</v>
      </c>
      <c r="E387">
        <v>59.3</v>
      </c>
      <c r="G387">
        <f t="shared" si="37"/>
        <v>332.3</v>
      </c>
      <c r="H387" s="2">
        <f t="shared" si="38"/>
        <v>1.9071126760563379</v>
      </c>
      <c r="J387" s="2">
        <f t="shared" si="39"/>
        <v>3.0093289196509176</v>
      </c>
      <c r="K387" s="3">
        <f t="shared" si="40"/>
        <v>1.2787658240492668</v>
      </c>
      <c r="M387">
        <f t="shared" si="41"/>
        <v>1.0124923826934797</v>
      </c>
    </row>
    <row r="388" spans="1:13" x14ac:dyDescent="0.25">
      <c r="A388" s="4" t="s">
        <v>389</v>
      </c>
      <c r="B388" s="4">
        <v>155</v>
      </c>
      <c r="C388">
        <f t="shared" si="35"/>
        <v>0.77500000000000002</v>
      </c>
      <c r="D388">
        <f t="shared" si="36"/>
        <v>332.3</v>
      </c>
      <c r="E388">
        <v>59.3</v>
      </c>
      <c r="G388">
        <f t="shared" si="37"/>
        <v>332.3</v>
      </c>
      <c r="H388" s="2">
        <f t="shared" si="38"/>
        <v>1.932042253521127</v>
      </c>
      <c r="J388" s="2">
        <f t="shared" si="39"/>
        <v>3.0093289196509176</v>
      </c>
      <c r="K388" s="3">
        <f t="shared" si="40"/>
        <v>1.3047402151028895</v>
      </c>
      <c r="M388">
        <f t="shared" si="41"/>
        <v>1.0124923826934797</v>
      </c>
    </row>
    <row r="389" spans="1:13" x14ac:dyDescent="0.25">
      <c r="A389" s="4" t="s">
        <v>390</v>
      </c>
      <c r="B389" s="4">
        <v>155</v>
      </c>
      <c r="C389">
        <f t="shared" si="35"/>
        <v>0.77500000000000002</v>
      </c>
      <c r="D389">
        <f t="shared" si="36"/>
        <v>332.3</v>
      </c>
      <c r="E389">
        <v>59.3</v>
      </c>
      <c r="G389">
        <f t="shared" si="37"/>
        <v>332.3</v>
      </c>
      <c r="H389" s="2">
        <f t="shared" si="38"/>
        <v>1.932042253521127</v>
      </c>
      <c r="J389" s="2">
        <f t="shared" si="39"/>
        <v>3.0093289196509176</v>
      </c>
      <c r="K389" s="3">
        <f t="shared" si="40"/>
        <v>1.3047402151028895</v>
      </c>
      <c r="M389">
        <f t="shared" si="41"/>
        <v>1.0124923826934797</v>
      </c>
    </row>
    <row r="390" spans="1:13" x14ac:dyDescent="0.25">
      <c r="A390" s="4" t="s">
        <v>391</v>
      </c>
      <c r="B390" s="4">
        <v>154</v>
      </c>
      <c r="C390">
        <f t="shared" si="35"/>
        <v>0.77</v>
      </c>
      <c r="D390">
        <f t="shared" si="36"/>
        <v>332.3</v>
      </c>
      <c r="E390">
        <v>59.3</v>
      </c>
      <c r="G390">
        <f t="shared" si="37"/>
        <v>332.3</v>
      </c>
      <c r="H390" s="2">
        <f t="shared" si="38"/>
        <v>1.9195774647887323</v>
      </c>
      <c r="J390" s="2">
        <f t="shared" si="39"/>
        <v>3.0093289196509176</v>
      </c>
      <c r="K390" s="3">
        <f t="shared" si="40"/>
        <v>1.2917951860916541</v>
      </c>
      <c r="M390">
        <f t="shared" si="41"/>
        <v>1.0124923826934797</v>
      </c>
    </row>
    <row r="391" spans="1:13" x14ac:dyDescent="0.25">
      <c r="A391" s="4" t="s">
        <v>392</v>
      </c>
      <c r="B391" s="4">
        <v>154</v>
      </c>
      <c r="C391">
        <f t="shared" si="35"/>
        <v>0.77</v>
      </c>
      <c r="D391">
        <f t="shared" si="36"/>
        <v>332.3</v>
      </c>
      <c r="E391">
        <v>59.3</v>
      </c>
      <c r="G391">
        <f t="shared" si="37"/>
        <v>332.3</v>
      </c>
      <c r="H391" s="2">
        <f t="shared" si="38"/>
        <v>1.9195774647887323</v>
      </c>
      <c r="J391" s="2">
        <f t="shared" si="39"/>
        <v>3.0093289196509176</v>
      </c>
      <c r="K391" s="3">
        <f t="shared" si="40"/>
        <v>1.2917951860916541</v>
      </c>
      <c r="M391">
        <f t="shared" si="41"/>
        <v>1.0124923826934797</v>
      </c>
    </row>
    <row r="392" spans="1:13" x14ac:dyDescent="0.25">
      <c r="A392" s="4" t="s">
        <v>393</v>
      </c>
      <c r="B392" s="4">
        <v>155</v>
      </c>
      <c r="C392">
        <f t="shared" si="35"/>
        <v>0.77500000000000002</v>
      </c>
      <c r="D392">
        <f t="shared" si="36"/>
        <v>332.3</v>
      </c>
      <c r="E392">
        <v>59.3</v>
      </c>
      <c r="G392">
        <f t="shared" si="37"/>
        <v>332.3</v>
      </c>
      <c r="H392" s="2">
        <f t="shared" si="38"/>
        <v>1.932042253521127</v>
      </c>
      <c r="J392" s="2">
        <f t="shared" si="39"/>
        <v>3.0093289196509176</v>
      </c>
      <c r="K392" s="3">
        <f t="shared" si="40"/>
        <v>1.3047402151028895</v>
      </c>
      <c r="M392">
        <f t="shared" si="41"/>
        <v>1.0124923826934797</v>
      </c>
    </row>
    <row r="393" spans="1:13" x14ac:dyDescent="0.25">
      <c r="A393" s="4" t="s">
        <v>394</v>
      </c>
      <c r="B393" s="4">
        <v>156</v>
      </c>
      <c r="C393">
        <f t="shared" si="35"/>
        <v>0.78</v>
      </c>
      <c r="D393">
        <f t="shared" si="36"/>
        <v>332.3</v>
      </c>
      <c r="E393">
        <v>59.3</v>
      </c>
      <c r="G393">
        <f t="shared" si="37"/>
        <v>332.3</v>
      </c>
      <c r="H393" s="2">
        <f t="shared" si="38"/>
        <v>1.9445070422535211</v>
      </c>
      <c r="J393" s="2">
        <f t="shared" si="39"/>
        <v>3.0093289196509176</v>
      </c>
      <c r="K393" s="3">
        <f t="shared" si="40"/>
        <v>1.3176019957634699</v>
      </c>
      <c r="M393">
        <f t="shared" si="41"/>
        <v>1.0124923826934797</v>
      </c>
    </row>
    <row r="394" spans="1:13" x14ac:dyDescent="0.25">
      <c r="A394" s="4" t="s">
        <v>395</v>
      </c>
      <c r="B394" s="4">
        <v>153</v>
      </c>
      <c r="C394">
        <f t="shared" si="35"/>
        <v>0.76500000000000001</v>
      </c>
      <c r="D394">
        <f t="shared" si="36"/>
        <v>332.3</v>
      </c>
      <c r="E394">
        <v>59.3</v>
      </c>
      <c r="G394">
        <f t="shared" si="37"/>
        <v>332.3</v>
      </c>
      <c r="H394" s="2">
        <f t="shared" si="38"/>
        <v>1.9071126760563379</v>
      </c>
      <c r="J394" s="2">
        <f t="shared" si="39"/>
        <v>3.0093289196509176</v>
      </c>
      <c r="K394" s="3">
        <f t="shared" si="40"/>
        <v>1.2787658240492668</v>
      </c>
      <c r="M394">
        <f t="shared" si="41"/>
        <v>1.0124923826934797</v>
      </c>
    </row>
    <row r="395" spans="1:13" x14ac:dyDescent="0.25">
      <c r="A395" s="4" t="s">
        <v>396</v>
      </c>
      <c r="B395" s="4">
        <v>154</v>
      </c>
      <c r="C395">
        <f t="shared" ref="C395:C458" si="42">B395/200</f>
        <v>0.77</v>
      </c>
      <c r="D395">
        <f t="shared" ref="D395:D458" si="43">273+E395</f>
        <v>332.3</v>
      </c>
      <c r="E395">
        <v>59.3</v>
      </c>
      <c r="G395">
        <f t="shared" ref="G395:G458" si="44">D395</f>
        <v>332.3</v>
      </c>
      <c r="H395" s="2">
        <f t="shared" ref="H395:H458" si="45">1.77*B395/142</f>
        <v>1.9195774647887323</v>
      </c>
      <c r="J395" s="2">
        <f t="shared" ref="J395:J458" si="46">1000/G395</f>
        <v>3.0093289196509176</v>
      </c>
      <c r="K395" s="3">
        <f t="shared" ref="K395:K458" si="47">LN(H395*H395/M395)</f>
        <v>1.2917951860916541</v>
      </c>
      <c r="M395">
        <f t="shared" ref="M395:M458" si="48">G395/328.2</f>
        <v>1.0124923826934797</v>
      </c>
    </row>
    <row r="396" spans="1:13" x14ac:dyDescent="0.25">
      <c r="A396" s="4" t="s">
        <v>397</v>
      </c>
      <c r="B396" s="4">
        <v>153</v>
      </c>
      <c r="C396">
        <f t="shared" si="42"/>
        <v>0.76500000000000001</v>
      </c>
      <c r="D396">
        <f t="shared" si="43"/>
        <v>332.3</v>
      </c>
      <c r="E396">
        <v>59.3</v>
      </c>
      <c r="G396">
        <f t="shared" si="44"/>
        <v>332.3</v>
      </c>
      <c r="H396" s="2">
        <f t="shared" si="45"/>
        <v>1.9071126760563379</v>
      </c>
      <c r="J396" s="2">
        <f t="shared" si="46"/>
        <v>3.0093289196509176</v>
      </c>
      <c r="K396" s="3">
        <f t="shared" si="47"/>
        <v>1.2787658240492668</v>
      </c>
      <c r="M396">
        <f t="shared" si="48"/>
        <v>1.0124923826934797</v>
      </c>
    </row>
    <row r="397" spans="1:13" x14ac:dyDescent="0.25">
      <c r="A397" s="4" t="s">
        <v>398</v>
      </c>
      <c r="B397" s="4">
        <v>155</v>
      </c>
      <c r="C397">
        <f t="shared" si="42"/>
        <v>0.77500000000000002</v>
      </c>
      <c r="D397">
        <f t="shared" si="43"/>
        <v>332.3</v>
      </c>
      <c r="E397">
        <v>59.3</v>
      </c>
      <c r="G397">
        <f t="shared" si="44"/>
        <v>332.3</v>
      </c>
      <c r="H397" s="2">
        <f t="shared" si="45"/>
        <v>1.932042253521127</v>
      </c>
      <c r="J397" s="2">
        <f t="shared" si="46"/>
        <v>3.0093289196509176</v>
      </c>
      <c r="K397" s="3">
        <f t="shared" si="47"/>
        <v>1.3047402151028895</v>
      </c>
      <c r="M397">
        <f t="shared" si="48"/>
        <v>1.0124923826934797</v>
      </c>
    </row>
    <row r="398" spans="1:13" x14ac:dyDescent="0.25">
      <c r="A398" s="4" t="s">
        <v>399</v>
      </c>
      <c r="B398" s="4">
        <v>153</v>
      </c>
      <c r="C398">
        <f t="shared" si="42"/>
        <v>0.76500000000000001</v>
      </c>
      <c r="D398">
        <f t="shared" si="43"/>
        <v>332.3</v>
      </c>
      <c r="E398">
        <v>59.3</v>
      </c>
      <c r="G398">
        <f t="shared" si="44"/>
        <v>332.3</v>
      </c>
      <c r="H398" s="2">
        <f t="shared" si="45"/>
        <v>1.9071126760563379</v>
      </c>
      <c r="J398" s="2">
        <f t="shared" si="46"/>
        <v>3.0093289196509176</v>
      </c>
      <c r="K398" s="3">
        <f t="shared" si="47"/>
        <v>1.2787658240492668</v>
      </c>
      <c r="M398">
        <f t="shared" si="48"/>
        <v>1.0124923826934797</v>
      </c>
    </row>
    <row r="399" spans="1:13" x14ac:dyDescent="0.25">
      <c r="A399" s="4" t="s">
        <v>400</v>
      </c>
      <c r="B399" s="4">
        <v>154</v>
      </c>
      <c r="C399">
        <f t="shared" si="42"/>
        <v>0.77</v>
      </c>
      <c r="D399">
        <f t="shared" si="43"/>
        <v>332.3</v>
      </c>
      <c r="E399">
        <v>59.3</v>
      </c>
      <c r="G399">
        <f t="shared" si="44"/>
        <v>332.3</v>
      </c>
      <c r="H399" s="2">
        <f t="shared" si="45"/>
        <v>1.9195774647887323</v>
      </c>
      <c r="J399" s="2">
        <f t="shared" si="46"/>
        <v>3.0093289196509176</v>
      </c>
      <c r="K399" s="3">
        <f t="shared" si="47"/>
        <v>1.2917951860916541</v>
      </c>
      <c r="M399">
        <f t="shared" si="48"/>
        <v>1.0124923826934797</v>
      </c>
    </row>
    <row r="400" spans="1:13" x14ac:dyDescent="0.25">
      <c r="A400" s="4" t="s">
        <v>401</v>
      </c>
      <c r="B400" s="4">
        <v>154</v>
      </c>
      <c r="C400">
        <f t="shared" si="42"/>
        <v>0.77</v>
      </c>
      <c r="D400">
        <f t="shared" si="43"/>
        <v>332.3</v>
      </c>
      <c r="E400">
        <v>59.3</v>
      </c>
      <c r="G400">
        <f t="shared" si="44"/>
        <v>332.3</v>
      </c>
      <c r="H400" s="2">
        <f t="shared" si="45"/>
        <v>1.9195774647887323</v>
      </c>
      <c r="J400" s="2">
        <f t="shared" si="46"/>
        <v>3.0093289196509176</v>
      </c>
      <c r="K400" s="3">
        <f t="shared" si="47"/>
        <v>1.2917951860916541</v>
      </c>
      <c r="M400">
        <f t="shared" si="48"/>
        <v>1.0124923826934797</v>
      </c>
    </row>
    <row r="401" spans="1:13" x14ac:dyDescent="0.25">
      <c r="A401" s="4" t="s">
        <v>402</v>
      </c>
      <c r="B401" s="4">
        <v>153</v>
      </c>
      <c r="C401">
        <f t="shared" si="42"/>
        <v>0.76500000000000001</v>
      </c>
      <c r="D401">
        <f t="shared" si="43"/>
        <v>332.3</v>
      </c>
      <c r="E401">
        <v>59.3</v>
      </c>
      <c r="G401">
        <f t="shared" si="44"/>
        <v>332.3</v>
      </c>
      <c r="H401" s="2">
        <f t="shared" si="45"/>
        <v>1.9071126760563379</v>
      </c>
      <c r="J401" s="2">
        <f t="shared" si="46"/>
        <v>3.0093289196509176</v>
      </c>
      <c r="K401" s="3">
        <f t="shared" si="47"/>
        <v>1.2787658240492668</v>
      </c>
      <c r="M401">
        <f t="shared" si="48"/>
        <v>1.0124923826934797</v>
      </c>
    </row>
    <row r="402" spans="1:13" x14ac:dyDescent="0.25">
      <c r="A402" s="4" t="s">
        <v>403</v>
      </c>
      <c r="B402" s="4">
        <v>153</v>
      </c>
      <c r="C402">
        <f t="shared" si="42"/>
        <v>0.76500000000000001</v>
      </c>
      <c r="D402">
        <f t="shared" si="43"/>
        <v>332.3</v>
      </c>
      <c r="E402">
        <v>59.3</v>
      </c>
      <c r="G402">
        <f t="shared" si="44"/>
        <v>332.3</v>
      </c>
      <c r="H402" s="2">
        <f t="shared" si="45"/>
        <v>1.9071126760563379</v>
      </c>
      <c r="J402" s="2">
        <f t="shared" si="46"/>
        <v>3.0093289196509176</v>
      </c>
      <c r="K402" s="3">
        <f t="shared" si="47"/>
        <v>1.2787658240492668</v>
      </c>
      <c r="M402">
        <f t="shared" si="48"/>
        <v>1.0124923826934797</v>
      </c>
    </row>
    <row r="403" spans="1:13" x14ac:dyDescent="0.25">
      <c r="A403" s="4" t="s">
        <v>404</v>
      </c>
      <c r="B403" s="4">
        <v>152</v>
      </c>
      <c r="C403">
        <f t="shared" si="42"/>
        <v>0.76</v>
      </c>
      <c r="D403">
        <f t="shared" si="43"/>
        <v>332.1</v>
      </c>
      <c r="E403">
        <v>59.1</v>
      </c>
      <c r="G403">
        <f t="shared" si="44"/>
        <v>332.1</v>
      </c>
      <c r="H403" s="2">
        <f t="shared" si="45"/>
        <v>1.8946478873239438</v>
      </c>
      <c r="J403" s="2">
        <f t="shared" si="46"/>
        <v>3.011141222523336</v>
      </c>
      <c r="K403" s="3">
        <f t="shared" si="47"/>
        <v>1.2662530699347967</v>
      </c>
      <c r="M403">
        <f t="shared" si="48"/>
        <v>1.0118829981718465</v>
      </c>
    </row>
    <row r="404" spans="1:13" x14ac:dyDescent="0.25">
      <c r="A404" s="4" t="s">
        <v>405</v>
      </c>
      <c r="B404" s="4">
        <v>152</v>
      </c>
      <c r="C404">
        <f t="shared" si="42"/>
        <v>0.76</v>
      </c>
      <c r="D404">
        <f t="shared" si="43"/>
        <v>332.1</v>
      </c>
      <c r="E404">
        <v>59.1</v>
      </c>
      <c r="G404">
        <f t="shared" si="44"/>
        <v>332.1</v>
      </c>
      <c r="H404" s="2">
        <f t="shared" si="45"/>
        <v>1.8946478873239438</v>
      </c>
      <c r="J404" s="2">
        <f t="shared" si="46"/>
        <v>3.011141222523336</v>
      </c>
      <c r="K404" s="3">
        <f t="shared" si="47"/>
        <v>1.2662530699347967</v>
      </c>
      <c r="M404">
        <f t="shared" si="48"/>
        <v>1.0118829981718465</v>
      </c>
    </row>
    <row r="405" spans="1:13" x14ac:dyDescent="0.25">
      <c r="A405" s="4" t="s">
        <v>406</v>
      </c>
      <c r="B405" s="4">
        <v>151</v>
      </c>
      <c r="C405">
        <f t="shared" si="42"/>
        <v>0.755</v>
      </c>
      <c r="D405">
        <f t="shared" si="43"/>
        <v>332.1</v>
      </c>
      <c r="E405">
        <v>59.1</v>
      </c>
      <c r="G405">
        <f t="shared" si="44"/>
        <v>332.1</v>
      </c>
      <c r="H405" s="2">
        <f t="shared" si="45"/>
        <v>1.8821830985915491</v>
      </c>
      <c r="J405" s="2">
        <f t="shared" si="46"/>
        <v>3.011141222523336</v>
      </c>
      <c r="K405" s="3">
        <f t="shared" si="47"/>
        <v>1.2530517018720921</v>
      </c>
      <c r="M405">
        <f t="shared" si="48"/>
        <v>1.0118829981718465</v>
      </c>
    </row>
    <row r="406" spans="1:13" x14ac:dyDescent="0.25">
      <c r="A406" s="4" t="s">
        <v>407</v>
      </c>
      <c r="B406" s="4">
        <v>151</v>
      </c>
      <c r="C406">
        <f t="shared" si="42"/>
        <v>0.755</v>
      </c>
      <c r="D406">
        <f t="shared" si="43"/>
        <v>331.9</v>
      </c>
      <c r="E406">
        <v>58.9</v>
      </c>
      <c r="G406">
        <f t="shared" si="44"/>
        <v>331.9</v>
      </c>
      <c r="H406" s="2">
        <f t="shared" si="45"/>
        <v>1.8821830985915491</v>
      </c>
      <c r="J406" s="2">
        <f t="shared" si="46"/>
        <v>3.0129557095510697</v>
      </c>
      <c r="K406" s="3">
        <f t="shared" si="47"/>
        <v>1.2536541115288642</v>
      </c>
      <c r="M406">
        <f t="shared" si="48"/>
        <v>1.0112736136502132</v>
      </c>
    </row>
    <row r="407" spans="1:13" x14ac:dyDescent="0.25">
      <c r="A407" s="4" t="s">
        <v>408</v>
      </c>
      <c r="B407" s="4">
        <v>152</v>
      </c>
      <c r="C407">
        <f t="shared" si="42"/>
        <v>0.76</v>
      </c>
      <c r="D407">
        <f t="shared" si="43"/>
        <v>331.9</v>
      </c>
      <c r="E407">
        <v>58.9</v>
      </c>
      <c r="G407">
        <f t="shared" si="44"/>
        <v>331.9</v>
      </c>
      <c r="H407" s="2">
        <f t="shared" si="45"/>
        <v>1.8946478873239438</v>
      </c>
      <c r="J407" s="2">
        <f t="shared" si="46"/>
        <v>3.0129557095510697</v>
      </c>
      <c r="K407" s="3">
        <f t="shared" si="47"/>
        <v>1.2668554795915687</v>
      </c>
      <c r="M407">
        <f t="shared" si="48"/>
        <v>1.0112736136502132</v>
      </c>
    </row>
    <row r="408" spans="1:13" x14ac:dyDescent="0.25">
      <c r="A408" s="4" t="s">
        <v>409</v>
      </c>
      <c r="B408" s="4">
        <v>152</v>
      </c>
      <c r="C408">
        <f t="shared" si="42"/>
        <v>0.76</v>
      </c>
      <c r="D408">
        <f t="shared" si="43"/>
        <v>331.9</v>
      </c>
      <c r="E408">
        <v>58.9</v>
      </c>
      <c r="G408">
        <f t="shared" si="44"/>
        <v>331.9</v>
      </c>
      <c r="H408" s="2">
        <f t="shared" si="45"/>
        <v>1.8946478873239438</v>
      </c>
      <c r="J408" s="2">
        <f t="shared" si="46"/>
        <v>3.0129557095510697</v>
      </c>
      <c r="K408" s="3">
        <f t="shared" si="47"/>
        <v>1.2668554795915687</v>
      </c>
      <c r="M408">
        <f t="shared" si="48"/>
        <v>1.0112736136502132</v>
      </c>
    </row>
    <row r="409" spans="1:13" x14ac:dyDescent="0.25">
      <c r="A409" s="4" t="s">
        <v>410</v>
      </c>
      <c r="B409" s="4">
        <v>152</v>
      </c>
      <c r="C409">
        <f t="shared" si="42"/>
        <v>0.76</v>
      </c>
      <c r="D409">
        <f t="shared" si="43"/>
        <v>331.9</v>
      </c>
      <c r="E409">
        <v>58.9</v>
      </c>
      <c r="G409">
        <f t="shared" si="44"/>
        <v>331.9</v>
      </c>
      <c r="H409" s="2">
        <f t="shared" si="45"/>
        <v>1.8946478873239438</v>
      </c>
      <c r="J409" s="2">
        <f t="shared" si="46"/>
        <v>3.0129557095510697</v>
      </c>
      <c r="K409" s="3">
        <f t="shared" si="47"/>
        <v>1.2668554795915687</v>
      </c>
      <c r="M409">
        <f t="shared" si="48"/>
        <v>1.0112736136502132</v>
      </c>
    </row>
    <row r="410" spans="1:13" x14ac:dyDescent="0.25">
      <c r="A410" s="4" t="s">
        <v>411</v>
      </c>
      <c r="B410" s="4">
        <v>151</v>
      </c>
      <c r="C410">
        <f t="shared" si="42"/>
        <v>0.755</v>
      </c>
      <c r="D410">
        <f t="shared" si="43"/>
        <v>331.9</v>
      </c>
      <c r="E410">
        <v>58.9</v>
      </c>
      <c r="G410">
        <f t="shared" si="44"/>
        <v>331.9</v>
      </c>
      <c r="H410" s="2">
        <f t="shared" si="45"/>
        <v>1.8821830985915491</v>
      </c>
      <c r="J410" s="2">
        <f t="shared" si="46"/>
        <v>3.0129557095510697</v>
      </c>
      <c r="K410" s="3">
        <f t="shared" si="47"/>
        <v>1.2536541115288642</v>
      </c>
      <c r="M410">
        <f t="shared" si="48"/>
        <v>1.0112736136502132</v>
      </c>
    </row>
    <row r="411" spans="1:13" x14ac:dyDescent="0.25">
      <c r="A411" s="4" t="s">
        <v>412</v>
      </c>
      <c r="B411" s="4">
        <v>151</v>
      </c>
      <c r="C411">
        <f t="shared" si="42"/>
        <v>0.755</v>
      </c>
      <c r="D411">
        <f t="shared" si="43"/>
        <v>331.9</v>
      </c>
      <c r="E411">
        <v>58.9</v>
      </c>
      <c r="G411">
        <f t="shared" si="44"/>
        <v>331.9</v>
      </c>
      <c r="H411" s="2">
        <f t="shared" si="45"/>
        <v>1.8821830985915491</v>
      </c>
      <c r="J411" s="2">
        <f t="shared" si="46"/>
        <v>3.0129557095510697</v>
      </c>
      <c r="K411" s="3">
        <f t="shared" si="47"/>
        <v>1.2536541115288642</v>
      </c>
      <c r="M411">
        <f t="shared" si="48"/>
        <v>1.0112736136502132</v>
      </c>
    </row>
    <row r="412" spans="1:13" x14ac:dyDescent="0.25">
      <c r="A412" s="4" t="s">
        <v>413</v>
      </c>
      <c r="B412" s="4">
        <v>150</v>
      </c>
      <c r="C412">
        <f t="shared" si="42"/>
        <v>0.75</v>
      </c>
      <c r="D412">
        <f t="shared" si="43"/>
        <v>331.9</v>
      </c>
      <c r="E412">
        <v>58.9</v>
      </c>
      <c r="G412">
        <f t="shared" si="44"/>
        <v>331.9</v>
      </c>
      <c r="H412" s="2">
        <f t="shared" si="45"/>
        <v>1.869718309859155</v>
      </c>
      <c r="J412" s="2">
        <f t="shared" si="46"/>
        <v>3.0129557095510697</v>
      </c>
      <c r="K412" s="3">
        <f t="shared" si="47"/>
        <v>1.2403650260915273</v>
      </c>
      <c r="M412">
        <f t="shared" si="48"/>
        <v>1.0112736136502132</v>
      </c>
    </row>
    <row r="413" spans="1:13" x14ac:dyDescent="0.25">
      <c r="A413" s="4" t="s">
        <v>414</v>
      </c>
      <c r="B413" s="4">
        <v>152</v>
      </c>
      <c r="C413">
        <f t="shared" si="42"/>
        <v>0.76</v>
      </c>
      <c r="D413">
        <f t="shared" si="43"/>
        <v>332</v>
      </c>
      <c r="E413">
        <v>59</v>
      </c>
      <c r="G413">
        <f t="shared" si="44"/>
        <v>332</v>
      </c>
      <c r="H413" s="2">
        <f t="shared" si="45"/>
        <v>1.8946478873239438</v>
      </c>
      <c r="J413" s="2">
        <f t="shared" si="46"/>
        <v>3.0120481927710845</v>
      </c>
      <c r="K413" s="3">
        <f t="shared" si="47"/>
        <v>1.2665542294010088</v>
      </c>
      <c r="M413">
        <f t="shared" si="48"/>
        <v>1.0115783059110299</v>
      </c>
    </row>
    <row r="414" spans="1:13" x14ac:dyDescent="0.25">
      <c r="A414" s="4" t="s">
        <v>415</v>
      </c>
      <c r="B414" s="4">
        <v>151</v>
      </c>
      <c r="C414">
        <f t="shared" si="42"/>
        <v>0.755</v>
      </c>
      <c r="D414">
        <f t="shared" si="43"/>
        <v>332</v>
      </c>
      <c r="E414">
        <v>59</v>
      </c>
      <c r="G414">
        <f t="shared" si="44"/>
        <v>332</v>
      </c>
      <c r="H414" s="2">
        <f t="shared" si="45"/>
        <v>1.8821830985915491</v>
      </c>
      <c r="J414" s="2">
        <f t="shared" si="46"/>
        <v>3.0120481927710845</v>
      </c>
      <c r="K414" s="3">
        <f t="shared" si="47"/>
        <v>1.2533528613383045</v>
      </c>
      <c r="M414">
        <f t="shared" si="48"/>
        <v>1.0115783059110299</v>
      </c>
    </row>
    <row r="415" spans="1:13" x14ac:dyDescent="0.25">
      <c r="A415" s="4" t="s">
        <v>416</v>
      </c>
      <c r="B415" s="4">
        <v>151</v>
      </c>
      <c r="C415">
        <f t="shared" si="42"/>
        <v>0.755</v>
      </c>
      <c r="D415">
        <f t="shared" si="43"/>
        <v>332</v>
      </c>
      <c r="E415">
        <v>59</v>
      </c>
      <c r="G415">
        <f t="shared" si="44"/>
        <v>332</v>
      </c>
      <c r="H415" s="2">
        <f t="shared" si="45"/>
        <v>1.8821830985915491</v>
      </c>
      <c r="J415" s="2">
        <f t="shared" si="46"/>
        <v>3.0120481927710845</v>
      </c>
      <c r="K415" s="3">
        <f t="shared" si="47"/>
        <v>1.2533528613383045</v>
      </c>
      <c r="M415">
        <f t="shared" si="48"/>
        <v>1.0115783059110299</v>
      </c>
    </row>
    <row r="416" spans="1:13" x14ac:dyDescent="0.25">
      <c r="A416" s="4" t="s">
        <v>417</v>
      </c>
      <c r="B416" s="4">
        <v>151</v>
      </c>
      <c r="C416">
        <f t="shared" si="42"/>
        <v>0.755</v>
      </c>
      <c r="D416">
        <f t="shared" si="43"/>
        <v>332</v>
      </c>
      <c r="E416">
        <v>59</v>
      </c>
      <c r="G416">
        <f t="shared" si="44"/>
        <v>332</v>
      </c>
      <c r="H416" s="2">
        <f t="shared" si="45"/>
        <v>1.8821830985915491</v>
      </c>
      <c r="J416" s="2">
        <f t="shared" si="46"/>
        <v>3.0120481927710845</v>
      </c>
      <c r="K416" s="3">
        <f t="shared" si="47"/>
        <v>1.2533528613383045</v>
      </c>
      <c r="M416">
        <f t="shared" si="48"/>
        <v>1.0115783059110299</v>
      </c>
    </row>
    <row r="417" spans="1:13" x14ac:dyDescent="0.25">
      <c r="A417" s="4" t="s">
        <v>418</v>
      </c>
      <c r="B417" s="4">
        <v>151</v>
      </c>
      <c r="C417">
        <f t="shared" si="42"/>
        <v>0.755</v>
      </c>
      <c r="D417">
        <f t="shared" si="43"/>
        <v>332</v>
      </c>
      <c r="E417">
        <v>59</v>
      </c>
      <c r="G417">
        <f t="shared" si="44"/>
        <v>332</v>
      </c>
      <c r="H417" s="2">
        <f t="shared" si="45"/>
        <v>1.8821830985915491</v>
      </c>
      <c r="J417" s="2">
        <f t="shared" si="46"/>
        <v>3.0120481927710845</v>
      </c>
      <c r="K417" s="3">
        <f t="shared" si="47"/>
        <v>1.2533528613383045</v>
      </c>
      <c r="M417">
        <f t="shared" si="48"/>
        <v>1.0115783059110299</v>
      </c>
    </row>
    <row r="418" spans="1:13" x14ac:dyDescent="0.25">
      <c r="A418" s="4" t="s">
        <v>419</v>
      </c>
      <c r="B418" s="4">
        <v>151</v>
      </c>
      <c r="C418">
        <f t="shared" si="42"/>
        <v>0.755</v>
      </c>
      <c r="D418">
        <f t="shared" si="43"/>
        <v>332</v>
      </c>
      <c r="E418">
        <v>59</v>
      </c>
      <c r="G418">
        <f t="shared" si="44"/>
        <v>332</v>
      </c>
      <c r="H418" s="2">
        <f t="shared" si="45"/>
        <v>1.8821830985915491</v>
      </c>
      <c r="J418" s="2">
        <f t="shared" si="46"/>
        <v>3.0120481927710845</v>
      </c>
      <c r="K418" s="3">
        <f t="shared" si="47"/>
        <v>1.2533528613383045</v>
      </c>
      <c r="M418">
        <f t="shared" si="48"/>
        <v>1.0115783059110299</v>
      </c>
    </row>
    <row r="419" spans="1:13" x14ac:dyDescent="0.25">
      <c r="A419" s="4" t="s">
        <v>420</v>
      </c>
      <c r="B419" s="4">
        <v>150</v>
      </c>
      <c r="C419">
        <f t="shared" si="42"/>
        <v>0.75</v>
      </c>
      <c r="D419">
        <f t="shared" si="43"/>
        <v>331.9</v>
      </c>
      <c r="E419">
        <v>58.9</v>
      </c>
      <c r="G419">
        <f t="shared" si="44"/>
        <v>331.9</v>
      </c>
      <c r="H419" s="2">
        <f t="shared" si="45"/>
        <v>1.869718309859155</v>
      </c>
      <c r="J419" s="2">
        <f t="shared" si="46"/>
        <v>3.0129557095510697</v>
      </c>
      <c r="K419" s="3">
        <f t="shared" si="47"/>
        <v>1.2403650260915273</v>
      </c>
      <c r="M419">
        <f t="shared" si="48"/>
        <v>1.0112736136502132</v>
      </c>
    </row>
    <row r="420" spans="1:13" x14ac:dyDescent="0.25">
      <c r="A420" s="4" t="s">
        <v>421</v>
      </c>
      <c r="B420" s="4">
        <v>148</v>
      </c>
      <c r="C420">
        <f t="shared" si="42"/>
        <v>0.74</v>
      </c>
      <c r="D420">
        <f t="shared" si="43"/>
        <v>331.9</v>
      </c>
      <c r="E420">
        <v>58.9</v>
      </c>
      <c r="G420">
        <f t="shared" si="44"/>
        <v>331.9</v>
      </c>
      <c r="H420" s="2">
        <f t="shared" si="45"/>
        <v>1.8447887323943661</v>
      </c>
      <c r="J420" s="2">
        <f t="shared" si="46"/>
        <v>3.0129557095510697</v>
      </c>
      <c r="K420" s="3">
        <f t="shared" si="47"/>
        <v>1.2135189854272459</v>
      </c>
      <c r="M420">
        <f t="shared" si="48"/>
        <v>1.0112736136502132</v>
      </c>
    </row>
    <row r="421" spans="1:13" x14ac:dyDescent="0.25">
      <c r="A421" s="4" t="s">
        <v>422</v>
      </c>
      <c r="B421" s="4">
        <v>151</v>
      </c>
      <c r="C421">
        <f t="shared" si="42"/>
        <v>0.755</v>
      </c>
      <c r="D421">
        <f t="shared" si="43"/>
        <v>331.9</v>
      </c>
      <c r="E421">
        <v>58.9</v>
      </c>
      <c r="G421">
        <f t="shared" si="44"/>
        <v>331.9</v>
      </c>
      <c r="H421" s="2">
        <f t="shared" si="45"/>
        <v>1.8821830985915491</v>
      </c>
      <c r="J421" s="2">
        <f t="shared" si="46"/>
        <v>3.0129557095510697</v>
      </c>
      <c r="K421" s="3">
        <f t="shared" si="47"/>
        <v>1.2536541115288642</v>
      </c>
      <c r="M421">
        <f t="shared" si="48"/>
        <v>1.0112736136502132</v>
      </c>
    </row>
    <row r="422" spans="1:13" x14ac:dyDescent="0.25">
      <c r="A422" s="4" t="s">
        <v>423</v>
      </c>
      <c r="B422" s="4">
        <v>150</v>
      </c>
      <c r="C422">
        <f t="shared" si="42"/>
        <v>0.75</v>
      </c>
      <c r="D422">
        <f t="shared" si="43"/>
        <v>331.8</v>
      </c>
      <c r="E422">
        <v>58.8</v>
      </c>
      <c r="G422">
        <f t="shared" si="44"/>
        <v>331.8</v>
      </c>
      <c r="H422" s="2">
        <f t="shared" si="45"/>
        <v>1.869718309859155</v>
      </c>
      <c r="J422" s="2">
        <f t="shared" si="46"/>
        <v>3.013863773357444</v>
      </c>
      <c r="K422" s="3">
        <f t="shared" si="47"/>
        <v>1.240666367061112</v>
      </c>
      <c r="M422">
        <f t="shared" si="48"/>
        <v>1.0109689213893969</v>
      </c>
    </row>
    <row r="423" spans="1:13" x14ac:dyDescent="0.25">
      <c r="A423" s="4" t="s">
        <v>424</v>
      </c>
      <c r="B423" s="4">
        <v>149</v>
      </c>
      <c r="C423">
        <f t="shared" si="42"/>
        <v>0.745</v>
      </c>
      <c r="D423">
        <f t="shared" si="43"/>
        <v>331.8</v>
      </c>
      <c r="E423">
        <v>58.8</v>
      </c>
      <c r="G423">
        <f t="shared" si="44"/>
        <v>331.8</v>
      </c>
      <c r="H423" s="2">
        <f t="shared" si="45"/>
        <v>1.8572535211267607</v>
      </c>
      <c r="J423" s="2">
        <f t="shared" si="46"/>
        <v>3.013863773357444</v>
      </c>
      <c r="K423" s="3">
        <f t="shared" si="47"/>
        <v>1.2272883907595187</v>
      </c>
      <c r="M423">
        <f t="shared" si="48"/>
        <v>1.0109689213893969</v>
      </c>
    </row>
    <row r="424" spans="1:13" x14ac:dyDescent="0.25">
      <c r="A424" s="4" t="s">
        <v>425</v>
      </c>
      <c r="B424" s="4">
        <v>149</v>
      </c>
      <c r="C424">
        <f t="shared" si="42"/>
        <v>0.745</v>
      </c>
      <c r="D424">
        <f t="shared" si="43"/>
        <v>331.8</v>
      </c>
      <c r="E424">
        <v>58.8</v>
      </c>
      <c r="G424">
        <f t="shared" si="44"/>
        <v>331.8</v>
      </c>
      <c r="H424" s="2">
        <f t="shared" si="45"/>
        <v>1.8572535211267607</v>
      </c>
      <c r="J424" s="2">
        <f t="shared" si="46"/>
        <v>3.013863773357444</v>
      </c>
      <c r="K424" s="3">
        <f t="shared" si="47"/>
        <v>1.2272883907595187</v>
      </c>
      <c r="M424">
        <f t="shared" si="48"/>
        <v>1.0109689213893969</v>
      </c>
    </row>
    <row r="425" spans="1:13" x14ac:dyDescent="0.25">
      <c r="A425" s="4" t="s">
        <v>426</v>
      </c>
      <c r="B425" s="4">
        <v>149</v>
      </c>
      <c r="C425">
        <f t="shared" si="42"/>
        <v>0.745</v>
      </c>
      <c r="D425">
        <f t="shared" si="43"/>
        <v>331.8</v>
      </c>
      <c r="E425">
        <v>58.8</v>
      </c>
      <c r="G425">
        <f t="shared" si="44"/>
        <v>331.8</v>
      </c>
      <c r="H425" s="2">
        <f t="shared" si="45"/>
        <v>1.8572535211267607</v>
      </c>
      <c r="J425" s="2">
        <f t="shared" si="46"/>
        <v>3.013863773357444</v>
      </c>
      <c r="K425" s="3">
        <f t="shared" si="47"/>
        <v>1.2272883907595187</v>
      </c>
      <c r="M425">
        <f t="shared" si="48"/>
        <v>1.0109689213893969</v>
      </c>
    </row>
    <row r="426" spans="1:13" x14ac:dyDescent="0.25">
      <c r="A426" s="4" t="s">
        <v>427</v>
      </c>
      <c r="B426" s="4">
        <v>149</v>
      </c>
      <c r="C426">
        <f t="shared" si="42"/>
        <v>0.745</v>
      </c>
      <c r="D426">
        <f t="shared" si="43"/>
        <v>331.8</v>
      </c>
      <c r="E426">
        <v>58.8</v>
      </c>
      <c r="G426">
        <f t="shared" si="44"/>
        <v>331.8</v>
      </c>
      <c r="H426" s="2">
        <f t="shared" si="45"/>
        <v>1.8572535211267607</v>
      </c>
      <c r="J426" s="2">
        <f t="shared" si="46"/>
        <v>3.013863773357444</v>
      </c>
      <c r="K426" s="3">
        <f t="shared" si="47"/>
        <v>1.2272883907595187</v>
      </c>
      <c r="M426">
        <f t="shared" si="48"/>
        <v>1.0109689213893969</v>
      </c>
    </row>
    <row r="427" spans="1:13" x14ac:dyDescent="0.25">
      <c r="A427" s="4" t="s">
        <v>428</v>
      </c>
      <c r="B427" s="4">
        <v>149</v>
      </c>
      <c r="C427">
        <f t="shared" si="42"/>
        <v>0.745</v>
      </c>
      <c r="D427">
        <f t="shared" si="43"/>
        <v>331.8</v>
      </c>
      <c r="E427">
        <v>58.8</v>
      </c>
      <c r="G427">
        <f t="shared" si="44"/>
        <v>331.8</v>
      </c>
      <c r="H427" s="2">
        <f t="shared" si="45"/>
        <v>1.8572535211267607</v>
      </c>
      <c r="J427" s="2">
        <f t="shared" si="46"/>
        <v>3.013863773357444</v>
      </c>
      <c r="K427" s="3">
        <f t="shared" si="47"/>
        <v>1.2272883907595187</v>
      </c>
      <c r="M427">
        <f t="shared" si="48"/>
        <v>1.0109689213893969</v>
      </c>
    </row>
    <row r="428" spans="1:13" x14ac:dyDescent="0.25">
      <c r="A428" s="4" t="s">
        <v>429</v>
      </c>
      <c r="B428" s="4">
        <v>149</v>
      </c>
      <c r="C428">
        <f t="shared" si="42"/>
        <v>0.745</v>
      </c>
      <c r="D428">
        <f t="shared" si="43"/>
        <v>331.8</v>
      </c>
      <c r="E428">
        <v>58.8</v>
      </c>
      <c r="G428">
        <f t="shared" si="44"/>
        <v>331.8</v>
      </c>
      <c r="H428" s="2">
        <f t="shared" si="45"/>
        <v>1.8572535211267607</v>
      </c>
      <c r="J428" s="2">
        <f t="shared" si="46"/>
        <v>3.013863773357444</v>
      </c>
      <c r="K428" s="3">
        <f t="shared" si="47"/>
        <v>1.2272883907595187</v>
      </c>
      <c r="M428">
        <f t="shared" si="48"/>
        <v>1.0109689213893969</v>
      </c>
    </row>
    <row r="429" spans="1:13" x14ac:dyDescent="0.25">
      <c r="A429" s="4" t="s">
        <v>430</v>
      </c>
      <c r="B429" s="4">
        <v>149</v>
      </c>
      <c r="C429">
        <f t="shared" si="42"/>
        <v>0.745</v>
      </c>
      <c r="D429">
        <f t="shared" si="43"/>
        <v>331.8</v>
      </c>
      <c r="E429">
        <v>58.8</v>
      </c>
      <c r="G429">
        <f t="shared" si="44"/>
        <v>331.8</v>
      </c>
      <c r="H429" s="2">
        <f t="shared" si="45"/>
        <v>1.8572535211267607</v>
      </c>
      <c r="J429" s="2">
        <f t="shared" si="46"/>
        <v>3.013863773357444</v>
      </c>
      <c r="K429" s="3">
        <f t="shared" si="47"/>
        <v>1.2272883907595187</v>
      </c>
      <c r="M429">
        <f t="shared" si="48"/>
        <v>1.0109689213893969</v>
      </c>
    </row>
    <row r="430" spans="1:13" x14ac:dyDescent="0.25">
      <c r="A430" s="4" t="s">
        <v>431</v>
      </c>
      <c r="B430" s="4">
        <v>149</v>
      </c>
      <c r="C430">
        <f t="shared" si="42"/>
        <v>0.745</v>
      </c>
      <c r="D430">
        <f t="shared" si="43"/>
        <v>331.8</v>
      </c>
      <c r="E430">
        <v>58.8</v>
      </c>
      <c r="G430">
        <f t="shared" si="44"/>
        <v>331.8</v>
      </c>
      <c r="H430" s="2">
        <f t="shared" si="45"/>
        <v>1.8572535211267607</v>
      </c>
      <c r="J430" s="2">
        <f t="shared" si="46"/>
        <v>3.013863773357444</v>
      </c>
      <c r="K430" s="3">
        <f t="shared" si="47"/>
        <v>1.2272883907595187</v>
      </c>
      <c r="M430">
        <f t="shared" si="48"/>
        <v>1.0109689213893969</v>
      </c>
    </row>
    <row r="431" spans="1:13" x14ac:dyDescent="0.25">
      <c r="A431" s="4" t="s">
        <v>432</v>
      </c>
      <c r="B431" s="4">
        <v>149</v>
      </c>
      <c r="C431">
        <f t="shared" si="42"/>
        <v>0.745</v>
      </c>
      <c r="D431">
        <f t="shared" si="43"/>
        <v>331.8</v>
      </c>
      <c r="E431">
        <v>58.8</v>
      </c>
      <c r="G431">
        <f t="shared" si="44"/>
        <v>331.8</v>
      </c>
      <c r="H431" s="2">
        <f t="shared" si="45"/>
        <v>1.8572535211267607</v>
      </c>
      <c r="J431" s="2">
        <f t="shared" si="46"/>
        <v>3.013863773357444</v>
      </c>
      <c r="K431" s="3">
        <f t="shared" si="47"/>
        <v>1.2272883907595187</v>
      </c>
      <c r="M431">
        <f t="shared" si="48"/>
        <v>1.0109689213893969</v>
      </c>
    </row>
    <row r="432" spans="1:13" x14ac:dyDescent="0.25">
      <c r="A432" s="4" t="s">
        <v>433</v>
      </c>
      <c r="B432" s="4">
        <v>149</v>
      </c>
      <c r="C432">
        <f t="shared" si="42"/>
        <v>0.745</v>
      </c>
      <c r="D432">
        <f t="shared" si="43"/>
        <v>331.7</v>
      </c>
      <c r="E432">
        <v>58.7</v>
      </c>
      <c r="G432">
        <f t="shared" si="44"/>
        <v>331.7</v>
      </c>
      <c r="H432" s="2">
        <f t="shared" si="45"/>
        <v>1.8572535211267607</v>
      </c>
      <c r="J432" s="2">
        <f t="shared" si="46"/>
        <v>3.0147723846849566</v>
      </c>
      <c r="K432" s="3">
        <f t="shared" si="47"/>
        <v>1.2275898225628563</v>
      </c>
      <c r="M432">
        <f t="shared" si="48"/>
        <v>1.0106642291285801</v>
      </c>
    </row>
    <row r="433" spans="1:13" x14ac:dyDescent="0.25">
      <c r="A433" s="4" t="s">
        <v>434</v>
      </c>
      <c r="B433" s="4">
        <v>149</v>
      </c>
      <c r="C433">
        <f t="shared" si="42"/>
        <v>0.745</v>
      </c>
      <c r="D433">
        <f t="shared" si="43"/>
        <v>331.7</v>
      </c>
      <c r="E433">
        <v>58.7</v>
      </c>
      <c r="G433">
        <f t="shared" si="44"/>
        <v>331.7</v>
      </c>
      <c r="H433" s="2">
        <f t="shared" si="45"/>
        <v>1.8572535211267607</v>
      </c>
      <c r="J433" s="2">
        <f t="shared" si="46"/>
        <v>3.0147723846849566</v>
      </c>
      <c r="K433" s="3">
        <f t="shared" si="47"/>
        <v>1.2275898225628563</v>
      </c>
      <c r="M433">
        <f t="shared" si="48"/>
        <v>1.0106642291285801</v>
      </c>
    </row>
    <row r="434" spans="1:13" x14ac:dyDescent="0.25">
      <c r="A434" s="4" t="s">
        <v>435</v>
      </c>
      <c r="B434" s="4">
        <v>148</v>
      </c>
      <c r="C434">
        <f t="shared" si="42"/>
        <v>0.74</v>
      </c>
      <c r="D434">
        <f t="shared" si="43"/>
        <v>331.7</v>
      </c>
      <c r="E434">
        <v>58.7</v>
      </c>
      <c r="G434">
        <f t="shared" si="44"/>
        <v>331.7</v>
      </c>
      <c r="H434" s="2">
        <f t="shared" si="45"/>
        <v>1.8447887323943661</v>
      </c>
      <c r="J434" s="2">
        <f t="shared" si="46"/>
        <v>3.0147723846849566</v>
      </c>
      <c r="K434" s="3">
        <f t="shared" si="47"/>
        <v>1.214121758200168</v>
      </c>
      <c r="M434">
        <f t="shared" si="48"/>
        <v>1.0106642291285801</v>
      </c>
    </row>
    <row r="435" spans="1:13" x14ac:dyDescent="0.25">
      <c r="A435" s="4" t="s">
        <v>436</v>
      </c>
      <c r="B435" s="4">
        <v>148</v>
      </c>
      <c r="C435">
        <f t="shared" si="42"/>
        <v>0.74</v>
      </c>
      <c r="D435">
        <f t="shared" si="43"/>
        <v>331.6</v>
      </c>
      <c r="E435">
        <v>58.6</v>
      </c>
      <c r="G435">
        <f t="shared" si="44"/>
        <v>331.6</v>
      </c>
      <c r="H435" s="2">
        <f t="shared" si="45"/>
        <v>1.8447887323943661</v>
      </c>
      <c r="J435" s="2">
        <f t="shared" si="46"/>
        <v>3.0156815440289502</v>
      </c>
      <c r="K435" s="3">
        <f t="shared" si="47"/>
        <v>1.2144232808920348</v>
      </c>
      <c r="M435">
        <f t="shared" si="48"/>
        <v>1.0103595368677636</v>
      </c>
    </row>
    <row r="436" spans="1:13" x14ac:dyDescent="0.25">
      <c r="A436" s="4" t="s">
        <v>437</v>
      </c>
      <c r="B436" s="4">
        <v>147</v>
      </c>
      <c r="C436">
        <f t="shared" si="42"/>
        <v>0.73499999999999999</v>
      </c>
      <c r="D436">
        <f t="shared" si="43"/>
        <v>331.6</v>
      </c>
      <c r="E436">
        <v>58.6</v>
      </c>
      <c r="G436">
        <f t="shared" si="44"/>
        <v>331.6</v>
      </c>
      <c r="H436" s="2">
        <f t="shared" si="45"/>
        <v>1.8323239436619718</v>
      </c>
      <c r="J436" s="2">
        <f t="shared" si="46"/>
        <v>3.0156815440289502</v>
      </c>
      <c r="K436" s="3">
        <f t="shared" si="47"/>
        <v>1.2008639069212772</v>
      </c>
      <c r="M436">
        <f t="shared" si="48"/>
        <v>1.0103595368677636</v>
      </c>
    </row>
    <row r="437" spans="1:13" x14ac:dyDescent="0.25">
      <c r="A437" s="4" t="s">
        <v>438</v>
      </c>
      <c r="B437" s="4">
        <v>147</v>
      </c>
      <c r="C437">
        <f t="shared" si="42"/>
        <v>0.73499999999999999</v>
      </c>
      <c r="D437">
        <f t="shared" si="43"/>
        <v>331.6</v>
      </c>
      <c r="E437">
        <v>58.6</v>
      </c>
      <c r="G437">
        <f t="shared" si="44"/>
        <v>331.6</v>
      </c>
      <c r="H437" s="2">
        <f t="shared" si="45"/>
        <v>1.8323239436619718</v>
      </c>
      <c r="J437" s="2">
        <f t="shared" si="46"/>
        <v>3.0156815440289502</v>
      </c>
      <c r="K437" s="3">
        <f t="shared" si="47"/>
        <v>1.2008639069212772</v>
      </c>
      <c r="M437">
        <f t="shared" si="48"/>
        <v>1.0103595368677636</v>
      </c>
    </row>
    <row r="438" spans="1:13" x14ac:dyDescent="0.25">
      <c r="A438" s="4" t="s">
        <v>439</v>
      </c>
      <c r="B438" s="4">
        <v>148</v>
      </c>
      <c r="C438">
        <f t="shared" si="42"/>
        <v>0.74</v>
      </c>
      <c r="D438">
        <f t="shared" si="43"/>
        <v>331.5</v>
      </c>
      <c r="E438">
        <v>58.5</v>
      </c>
      <c r="G438">
        <f t="shared" si="44"/>
        <v>331.5</v>
      </c>
      <c r="H438" s="2">
        <f t="shared" si="45"/>
        <v>1.8447887323943661</v>
      </c>
      <c r="J438" s="2">
        <f t="shared" si="46"/>
        <v>3.0165912518853695</v>
      </c>
      <c r="K438" s="3">
        <f t="shared" si="47"/>
        <v>1.2147248945272573</v>
      </c>
      <c r="M438">
        <f t="shared" si="48"/>
        <v>1.0100548446069471</v>
      </c>
    </row>
    <row r="439" spans="1:13" x14ac:dyDescent="0.25">
      <c r="A439" s="4" t="s">
        <v>440</v>
      </c>
      <c r="B439" s="4">
        <v>148</v>
      </c>
      <c r="C439">
        <f t="shared" si="42"/>
        <v>0.74</v>
      </c>
      <c r="D439">
        <f t="shared" si="43"/>
        <v>331.5</v>
      </c>
      <c r="E439">
        <v>58.5</v>
      </c>
      <c r="G439">
        <f t="shared" si="44"/>
        <v>331.5</v>
      </c>
      <c r="H439" s="2">
        <f t="shared" si="45"/>
        <v>1.8447887323943661</v>
      </c>
      <c r="J439" s="2">
        <f t="shared" si="46"/>
        <v>3.0165912518853695</v>
      </c>
      <c r="K439" s="3">
        <f t="shared" si="47"/>
        <v>1.2147248945272573</v>
      </c>
      <c r="M439">
        <f t="shared" si="48"/>
        <v>1.0100548446069471</v>
      </c>
    </row>
    <row r="440" spans="1:13" x14ac:dyDescent="0.25">
      <c r="A440" s="4" t="s">
        <v>441</v>
      </c>
      <c r="B440" s="4">
        <v>147</v>
      </c>
      <c r="C440">
        <f t="shared" si="42"/>
        <v>0.73499999999999999</v>
      </c>
      <c r="D440">
        <f t="shared" si="43"/>
        <v>331.5</v>
      </c>
      <c r="E440">
        <v>58.5</v>
      </c>
      <c r="G440">
        <f t="shared" si="44"/>
        <v>331.5</v>
      </c>
      <c r="H440" s="2">
        <f t="shared" si="45"/>
        <v>1.8323239436619718</v>
      </c>
      <c r="J440" s="2">
        <f t="shared" si="46"/>
        <v>3.0165912518853695</v>
      </c>
      <c r="K440" s="3">
        <f t="shared" si="47"/>
        <v>1.2011655205564999</v>
      </c>
      <c r="M440">
        <f t="shared" si="48"/>
        <v>1.0100548446069471</v>
      </c>
    </row>
    <row r="441" spans="1:13" x14ac:dyDescent="0.25">
      <c r="A441" s="4" t="s">
        <v>442</v>
      </c>
      <c r="B441" s="4">
        <v>146</v>
      </c>
      <c r="C441">
        <f t="shared" si="42"/>
        <v>0.73</v>
      </c>
      <c r="D441">
        <f t="shared" si="43"/>
        <v>331.5</v>
      </c>
      <c r="E441">
        <v>58.5</v>
      </c>
      <c r="G441">
        <f t="shared" si="44"/>
        <v>331.5</v>
      </c>
      <c r="H441" s="2">
        <f t="shared" si="45"/>
        <v>1.8198591549295775</v>
      </c>
      <c r="J441" s="2">
        <f t="shared" si="46"/>
        <v>3.0165912518853695</v>
      </c>
      <c r="K441" s="3">
        <f t="shared" si="47"/>
        <v>1.1875135904157001</v>
      </c>
      <c r="M441">
        <f t="shared" si="48"/>
        <v>1.0100548446069471</v>
      </c>
    </row>
    <row r="442" spans="1:13" x14ac:dyDescent="0.25">
      <c r="A442" s="4" t="s">
        <v>443</v>
      </c>
      <c r="B442" s="4">
        <v>146</v>
      </c>
      <c r="C442">
        <f t="shared" si="42"/>
        <v>0.73</v>
      </c>
      <c r="D442">
        <f t="shared" si="43"/>
        <v>331.3</v>
      </c>
      <c r="E442">
        <v>58.3</v>
      </c>
      <c r="G442">
        <f t="shared" si="44"/>
        <v>331.3</v>
      </c>
      <c r="H442" s="2">
        <f t="shared" si="45"/>
        <v>1.8198591549295775</v>
      </c>
      <c r="J442" s="2">
        <f t="shared" si="46"/>
        <v>3.0184123151222457</v>
      </c>
      <c r="K442" s="3">
        <f t="shared" si="47"/>
        <v>1.1881170907357672</v>
      </c>
      <c r="M442">
        <f t="shared" si="48"/>
        <v>1.009445460085314</v>
      </c>
    </row>
    <row r="443" spans="1:13" x14ac:dyDescent="0.25">
      <c r="A443" s="4" t="s">
        <v>444</v>
      </c>
      <c r="B443" s="4">
        <v>146</v>
      </c>
      <c r="C443">
        <f t="shared" si="42"/>
        <v>0.73</v>
      </c>
      <c r="D443">
        <f t="shared" si="43"/>
        <v>331.3</v>
      </c>
      <c r="E443">
        <v>58.3</v>
      </c>
      <c r="G443">
        <f t="shared" si="44"/>
        <v>331.3</v>
      </c>
      <c r="H443" s="2">
        <f t="shared" si="45"/>
        <v>1.8198591549295775</v>
      </c>
      <c r="J443" s="2">
        <f t="shared" si="46"/>
        <v>3.0184123151222457</v>
      </c>
      <c r="K443" s="3">
        <f t="shared" si="47"/>
        <v>1.1881170907357672</v>
      </c>
      <c r="M443">
        <f t="shared" si="48"/>
        <v>1.009445460085314</v>
      </c>
    </row>
    <row r="444" spans="1:13" x14ac:dyDescent="0.25">
      <c r="A444" s="4" t="s">
        <v>445</v>
      </c>
      <c r="B444" s="4">
        <v>147</v>
      </c>
      <c r="C444">
        <f t="shared" si="42"/>
        <v>0.73499999999999999</v>
      </c>
      <c r="D444">
        <f t="shared" si="43"/>
        <v>331.3</v>
      </c>
      <c r="E444">
        <v>58.3</v>
      </c>
      <c r="G444">
        <f t="shared" si="44"/>
        <v>331.3</v>
      </c>
      <c r="H444" s="2">
        <f t="shared" si="45"/>
        <v>1.8323239436619718</v>
      </c>
      <c r="J444" s="2">
        <f t="shared" si="46"/>
        <v>3.0184123151222457</v>
      </c>
      <c r="K444" s="3">
        <f t="shared" si="47"/>
        <v>1.2017690208765668</v>
      </c>
      <c r="M444">
        <f t="shared" si="48"/>
        <v>1.009445460085314</v>
      </c>
    </row>
    <row r="445" spans="1:13" x14ac:dyDescent="0.25">
      <c r="A445" s="4" t="s">
        <v>446</v>
      </c>
      <c r="B445" s="4">
        <v>147</v>
      </c>
      <c r="C445">
        <f t="shared" si="42"/>
        <v>0.73499999999999999</v>
      </c>
      <c r="D445">
        <f t="shared" si="43"/>
        <v>331.1</v>
      </c>
      <c r="E445">
        <v>58.1</v>
      </c>
      <c r="G445">
        <f t="shared" si="44"/>
        <v>331.1</v>
      </c>
      <c r="H445" s="2">
        <f t="shared" si="45"/>
        <v>1.8323239436619718</v>
      </c>
      <c r="J445" s="2">
        <f t="shared" si="46"/>
        <v>3.0202355783751131</v>
      </c>
      <c r="K445" s="3">
        <f t="shared" si="47"/>
        <v>1.2023728856292166</v>
      </c>
      <c r="M445">
        <f t="shared" si="48"/>
        <v>1.0088360755636807</v>
      </c>
    </row>
    <row r="446" spans="1:13" x14ac:dyDescent="0.25">
      <c r="A446" s="4" t="s">
        <v>447</v>
      </c>
      <c r="B446" s="4">
        <v>149</v>
      </c>
      <c r="C446">
        <f t="shared" si="42"/>
        <v>0.745</v>
      </c>
      <c r="D446">
        <f t="shared" si="43"/>
        <v>331.1</v>
      </c>
      <c r="E446">
        <v>58.1</v>
      </c>
      <c r="G446">
        <f t="shared" si="44"/>
        <v>331.1</v>
      </c>
      <c r="H446" s="2">
        <f t="shared" si="45"/>
        <v>1.8572535211267607</v>
      </c>
      <c r="J446" s="2">
        <f t="shared" si="46"/>
        <v>3.0202355783751131</v>
      </c>
      <c r="K446" s="3">
        <f t="shared" si="47"/>
        <v>1.2294003239626623</v>
      </c>
      <c r="M446">
        <f t="shared" si="48"/>
        <v>1.0088360755636807</v>
      </c>
    </row>
    <row r="447" spans="1:13" x14ac:dyDescent="0.25">
      <c r="A447" s="4" t="s">
        <v>448</v>
      </c>
      <c r="B447" s="4">
        <v>147</v>
      </c>
      <c r="C447">
        <f t="shared" si="42"/>
        <v>0.73499999999999999</v>
      </c>
      <c r="D447">
        <f t="shared" si="43"/>
        <v>331.1</v>
      </c>
      <c r="E447">
        <v>58.1</v>
      </c>
      <c r="G447">
        <f t="shared" si="44"/>
        <v>331.1</v>
      </c>
      <c r="H447" s="2">
        <f t="shared" si="45"/>
        <v>1.8323239436619718</v>
      </c>
      <c r="J447" s="2">
        <f t="shared" si="46"/>
        <v>3.0202355783751131</v>
      </c>
      <c r="K447" s="3">
        <f t="shared" si="47"/>
        <v>1.2023728856292166</v>
      </c>
      <c r="M447">
        <f t="shared" si="48"/>
        <v>1.0088360755636807</v>
      </c>
    </row>
    <row r="448" spans="1:13" x14ac:dyDescent="0.25">
      <c r="A448" s="4" t="s">
        <v>449</v>
      </c>
      <c r="B448" s="4">
        <v>148</v>
      </c>
      <c r="C448">
        <f t="shared" si="42"/>
        <v>0.74</v>
      </c>
      <c r="D448">
        <f t="shared" si="43"/>
        <v>331.1</v>
      </c>
      <c r="E448">
        <v>58.1</v>
      </c>
      <c r="G448">
        <f t="shared" si="44"/>
        <v>331.1</v>
      </c>
      <c r="H448" s="2">
        <f t="shared" si="45"/>
        <v>1.8447887323943661</v>
      </c>
      <c r="J448" s="2">
        <f t="shared" si="46"/>
        <v>3.0202355783751131</v>
      </c>
      <c r="K448" s="3">
        <f t="shared" si="47"/>
        <v>1.2159322595999742</v>
      </c>
      <c r="M448">
        <f t="shared" si="48"/>
        <v>1.0088360755636807</v>
      </c>
    </row>
    <row r="449" spans="1:13" x14ac:dyDescent="0.25">
      <c r="A449" s="4" t="s">
        <v>450</v>
      </c>
      <c r="B449" s="4">
        <v>147</v>
      </c>
      <c r="C449">
        <f t="shared" si="42"/>
        <v>0.73499999999999999</v>
      </c>
      <c r="D449">
        <f t="shared" si="43"/>
        <v>331.1</v>
      </c>
      <c r="E449">
        <v>58.1</v>
      </c>
      <c r="G449">
        <f t="shared" si="44"/>
        <v>331.1</v>
      </c>
      <c r="H449" s="2">
        <f t="shared" si="45"/>
        <v>1.8323239436619718</v>
      </c>
      <c r="J449" s="2">
        <f t="shared" si="46"/>
        <v>3.0202355783751131</v>
      </c>
      <c r="K449" s="3">
        <f t="shared" si="47"/>
        <v>1.2023728856292166</v>
      </c>
      <c r="M449">
        <f t="shared" si="48"/>
        <v>1.0088360755636807</v>
      </c>
    </row>
    <row r="450" spans="1:13" x14ac:dyDescent="0.25">
      <c r="A450" s="4" t="s">
        <v>451</v>
      </c>
      <c r="B450" s="4">
        <v>147</v>
      </c>
      <c r="C450">
        <f t="shared" si="42"/>
        <v>0.73499999999999999</v>
      </c>
      <c r="D450">
        <f t="shared" si="43"/>
        <v>331.1</v>
      </c>
      <c r="E450">
        <v>58.1</v>
      </c>
      <c r="G450">
        <f t="shared" si="44"/>
        <v>331.1</v>
      </c>
      <c r="H450" s="2">
        <f t="shared" si="45"/>
        <v>1.8323239436619718</v>
      </c>
      <c r="J450" s="2">
        <f t="shared" si="46"/>
        <v>3.0202355783751131</v>
      </c>
      <c r="K450" s="3">
        <f t="shared" si="47"/>
        <v>1.2023728856292166</v>
      </c>
      <c r="M450">
        <f t="shared" si="48"/>
        <v>1.0088360755636807</v>
      </c>
    </row>
    <row r="451" spans="1:13" x14ac:dyDescent="0.25">
      <c r="A451" s="4" t="s">
        <v>452</v>
      </c>
      <c r="B451" s="4">
        <v>149</v>
      </c>
      <c r="C451">
        <f t="shared" si="42"/>
        <v>0.745</v>
      </c>
      <c r="D451">
        <f t="shared" si="43"/>
        <v>331.1</v>
      </c>
      <c r="E451">
        <v>58.1</v>
      </c>
      <c r="G451">
        <f t="shared" si="44"/>
        <v>331.1</v>
      </c>
      <c r="H451" s="2">
        <f t="shared" si="45"/>
        <v>1.8572535211267607</v>
      </c>
      <c r="J451" s="2">
        <f t="shared" si="46"/>
        <v>3.0202355783751131</v>
      </c>
      <c r="K451" s="3">
        <f t="shared" si="47"/>
        <v>1.2294003239626623</v>
      </c>
      <c r="M451">
        <f t="shared" si="48"/>
        <v>1.0088360755636807</v>
      </c>
    </row>
    <row r="452" spans="1:13" x14ac:dyDescent="0.25">
      <c r="A452" s="4" t="s">
        <v>453</v>
      </c>
      <c r="B452" s="4">
        <v>148</v>
      </c>
      <c r="C452">
        <f t="shared" si="42"/>
        <v>0.74</v>
      </c>
      <c r="D452">
        <f t="shared" si="43"/>
        <v>331.1</v>
      </c>
      <c r="E452">
        <v>58.1</v>
      </c>
      <c r="G452">
        <f t="shared" si="44"/>
        <v>331.1</v>
      </c>
      <c r="H452" s="2">
        <f t="shared" si="45"/>
        <v>1.8447887323943661</v>
      </c>
      <c r="J452" s="2">
        <f t="shared" si="46"/>
        <v>3.0202355783751131</v>
      </c>
      <c r="K452" s="3">
        <f t="shared" si="47"/>
        <v>1.2159322595999742</v>
      </c>
      <c r="M452">
        <f t="shared" si="48"/>
        <v>1.0088360755636807</v>
      </c>
    </row>
    <row r="453" spans="1:13" x14ac:dyDescent="0.25">
      <c r="A453" s="4" t="s">
        <v>454</v>
      </c>
      <c r="B453" s="4">
        <v>148</v>
      </c>
      <c r="C453">
        <f t="shared" si="42"/>
        <v>0.74</v>
      </c>
      <c r="D453">
        <f t="shared" si="43"/>
        <v>331.1</v>
      </c>
      <c r="E453">
        <v>58.1</v>
      </c>
      <c r="G453">
        <f t="shared" si="44"/>
        <v>331.1</v>
      </c>
      <c r="H453" s="2">
        <f t="shared" si="45"/>
        <v>1.8447887323943661</v>
      </c>
      <c r="J453" s="2">
        <f t="shared" si="46"/>
        <v>3.0202355783751131</v>
      </c>
      <c r="K453" s="3">
        <f t="shared" si="47"/>
        <v>1.2159322595999742</v>
      </c>
      <c r="M453">
        <f t="shared" si="48"/>
        <v>1.0088360755636807</v>
      </c>
    </row>
    <row r="454" spans="1:13" x14ac:dyDescent="0.25">
      <c r="A454" s="4" t="s">
        <v>455</v>
      </c>
      <c r="B454" s="4">
        <v>149</v>
      </c>
      <c r="C454">
        <f t="shared" si="42"/>
        <v>0.745</v>
      </c>
      <c r="D454">
        <f t="shared" si="43"/>
        <v>330.9</v>
      </c>
      <c r="E454">
        <v>57.9</v>
      </c>
      <c r="G454">
        <f t="shared" si="44"/>
        <v>330.9</v>
      </c>
      <c r="H454" s="2">
        <f t="shared" si="45"/>
        <v>1.8572535211267607</v>
      </c>
      <c r="J454" s="2">
        <f t="shared" si="46"/>
        <v>3.0220610456331221</v>
      </c>
      <c r="K454" s="3">
        <f t="shared" si="47"/>
        <v>1.2300045535882966</v>
      </c>
      <c r="M454">
        <f t="shared" si="48"/>
        <v>1.0082266910420474</v>
      </c>
    </row>
    <row r="455" spans="1:13" x14ac:dyDescent="0.25">
      <c r="A455" s="4" t="s">
        <v>456</v>
      </c>
      <c r="B455" s="4">
        <v>148</v>
      </c>
      <c r="C455">
        <f t="shared" si="42"/>
        <v>0.74</v>
      </c>
      <c r="D455">
        <f t="shared" si="43"/>
        <v>330.9</v>
      </c>
      <c r="E455">
        <v>57.9</v>
      </c>
      <c r="G455">
        <f t="shared" si="44"/>
        <v>330.9</v>
      </c>
      <c r="H455" s="2">
        <f t="shared" si="45"/>
        <v>1.8447887323943661</v>
      </c>
      <c r="J455" s="2">
        <f t="shared" si="46"/>
        <v>3.0220610456331221</v>
      </c>
      <c r="K455" s="3">
        <f t="shared" si="47"/>
        <v>1.2165364892256083</v>
      </c>
      <c r="M455">
        <f t="shared" si="48"/>
        <v>1.0082266910420474</v>
      </c>
    </row>
    <row r="456" spans="1:13" x14ac:dyDescent="0.25">
      <c r="A456" s="4" t="s">
        <v>457</v>
      </c>
      <c r="B456" s="4">
        <v>147</v>
      </c>
      <c r="C456">
        <f t="shared" si="42"/>
        <v>0.73499999999999999</v>
      </c>
      <c r="D456">
        <f t="shared" si="43"/>
        <v>330.9</v>
      </c>
      <c r="E456">
        <v>57.9</v>
      </c>
      <c r="G456">
        <f t="shared" si="44"/>
        <v>330.9</v>
      </c>
      <c r="H456" s="2">
        <f t="shared" si="45"/>
        <v>1.8323239436619718</v>
      </c>
      <c r="J456" s="2">
        <f t="shared" si="46"/>
        <v>3.0220610456331221</v>
      </c>
      <c r="K456" s="3">
        <f t="shared" si="47"/>
        <v>1.2029771152548507</v>
      </c>
      <c r="M456">
        <f t="shared" si="48"/>
        <v>1.0082266910420474</v>
      </c>
    </row>
    <row r="457" spans="1:13" x14ac:dyDescent="0.25">
      <c r="A457" s="4" t="s">
        <v>458</v>
      </c>
      <c r="B457" s="4">
        <v>146</v>
      </c>
      <c r="C457">
        <f t="shared" si="42"/>
        <v>0.73</v>
      </c>
      <c r="D457">
        <f t="shared" si="43"/>
        <v>330.9</v>
      </c>
      <c r="E457">
        <v>57.9</v>
      </c>
      <c r="G457">
        <f t="shared" si="44"/>
        <v>330.9</v>
      </c>
      <c r="H457" s="2">
        <f t="shared" si="45"/>
        <v>1.8198591549295775</v>
      </c>
      <c r="J457" s="2">
        <f t="shared" si="46"/>
        <v>3.0220610456331221</v>
      </c>
      <c r="K457" s="3">
        <f t="shared" si="47"/>
        <v>1.1893251851140512</v>
      </c>
      <c r="M457">
        <f t="shared" si="48"/>
        <v>1.0082266910420474</v>
      </c>
    </row>
    <row r="458" spans="1:13" x14ac:dyDescent="0.25">
      <c r="A458" s="4" t="s">
        <v>459</v>
      </c>
      <c r="B458" s="4">
        <v>147</v>
      </c>
      <c r="C458">
        <f t="shared" si="42"/>
        <v>0.73499999999999999</v>
      </c>
      <c r="D458">
        <f t="shared" si="43"/>
        <v>330.8</v>
      </c>
      <c r="E458">
        <v>57.8</v>
      </c>
      <c r="G458">
        <f t="shared" si="44"/>
        <v>330.8</v>
      </c>
      <c r="H458" s="2">
        <f t="shared" si="45"/>
        <v>1.8323239436619718</v>
      </c>
      <c r="J458" s="2">
        <f t="shared" si="46"/>
        <v>3.022974607013301</v>
      </c>
      <c r="K458" s="3">
        <f t="shared" si="47"/>
        <v>1.2032793670328807</v>
      </c>
      <c r="M458">
        <f t="shared" si="48"/>
        <v>1.0079219987812311</v>
      </c>
    </row>
    <row r="459" spans="1:13" x14ac:dyDescent="0.25">
      <c r="A459" s="4" t="s">
        <v>460</v>
      </c>
      <c r="B459" s="4">
        <v>146</v>
      </c>
      <c r="C459">
        <f t="shared" ref="C459:C521" si="49">B459/200</f>
        <v>0.73</v>
      </c>
      <c r="D459">
        <f t="shared" ref="D459:D521" si="50">273+E459</f>
        <v>330.8</v>
      </c>
      <c r="E459">
        <v>57.8</v>
      </c>
      <c r="G459">
        <f t="shared" ref="G459:G521" si="51">D459</f>
        <v>330.8</v>
      </c>
      <c r="H459" s="2">
        <f t="shared" ref="H459:H521" si="52">1.77*B459/142</f>
        <v>1.8198591549295775</v>
      </c>
      <c r="J459" s="2">
        <f t="shared" ref="J459:J521" si="53">1000/G459</f>
        <v>3.022974607013301</v>
      </c>
      <c r="K459" s="3">
        <f t="shared" ref="K459:K521" si="54">LN(H459*H459/M459)</f>
        <v>1.1896274368920812</v>
      </c>
      <c r="M459">
        <f t="shared" ref="M459:M521" si="55">G459/328.2</f>
        <v>1.0079219987812311</v>
      </c>
    </row>
    <row r="460" spans="1:13" x14ac:dyDescent="0.25">
      <c r="A460" s="4" t="s">
        <v>461</v>
      </c>
      <c r="B460" s="4">
        <v>148</v>
      </c>
      <c r="C460">
        <f t="shared" si="49"/>
        <v>0.74</v>
      </c>
      <c r="D460">
        <f t="shared" si="50"/>
        <v>330.8</v>
      </c>
      <c r="E460">
        <v>57.8</v>
      </c>
      <c r="G460">
        <f t="shared" si="51"/>
        <v>330.8</v>
      </c>
      <c r="H460" s="2">
        <f t="shared" si="52"/>
        <v>1.8447887323943661</v>
      </c>
      <c r="J460" s="2">
        <f t="shared" si="53"/>
        <v>3.022974607013301</v>
      </c>
      <c r="K460" s="3">
        <f t="shared" si="54"/>
        <v>1.2168387410036383</v>
      </c>
      <c r="M460">
        <f t="shared" si="55"/>
        <v>1.0079219987812311</v>
      </c>
    </row>
    <row r="461" spans="1:13" x14ac:dyDescent="0.25">
      <c r="A461" s="4" t="s">
        <v>462</v>
      </c>
      <c r="B461" s="4">
        <v>147</v>
      </c>
      <c r="C461">
        <f t="shared" si="49"/>
        <v>0.73499999999999999</v>
      </c>
      <c r="D461">
        <f t="shared" si="50"/>
        <v>330.8</v>
      </c>
      <c r="E461">
        <v>57.8</v>
      </c>
      <c r="G461">
        <f t="shared" si="51"/>
        <v>330.8</v>
      </c>
      <c r="H461" s="2">
        <f t="shared" si="52"/>
        <v>1.8323239436619718</v>
      </c>
      <c r="J461" s="2">
        <f t="shared" si="53"/>
        <v>3.022974607013301</v>
      </c>
      <c r="K461" s="3">
        <f t="shared" si="54"/>
        <v>1.2032793670328807</v>
      </c>
      <c r="M461">
        <f t="shared" si="55"/>
        <v>1.0079219987812311</v>
      </c>
    </row>
    <row r="462" spans="1:13" x14ac:dyDescent="0.25">
      <c r="A462" s="4" t="s">
        <v>463</v>
      </c>
      <c r="B462" s="4">
        <v>147</v>
      </c>
      <c r="C462">
        <f t="shared" si="49"/>
        <v>0.73499999999999999</v>
      </c>
      <c r="D462">
        <f t="shared" si="50"/>
        <v>330.8</v>
      </c>
      <c r="E462">
        <v>57.8</v>
      </c>
      <c r="G462">
        <f t="shared" si="51"/>
        <v>330.8</v>
      </c>
      <c r="H462" s="2">
        <f t="shared" si="52"/>
        <v>1.8323239436619718</v>
      </c>
      <c r="J462" s="2">
        <f t="shared" si="53"/>
        <v>3.022974607013301</v>
      </c>
      <c r="K462" s="3">
        <f t="shared" si="54"/>
        <v>1.2032793670328807</v>
      </c>
      <c r="M462">
        <f t="shared" si="55"/>
        <v>1.0079219987812311</v>
      </c>
    </row>
    <row r="463" spans="1:13" x14ac:dyDescent="0.25">
      <c r="A463" s="4" t="s">
        <v>464</v>
      </c>
      <c r="B463" s="4">
        <v>148</v>
      </c>
      <c r="C463">
        <f t="shared" si="49"/>
        <v>0.74</v>
      </c>
      <c r="D463">
        <f t="shared" si="50"/>
        <v>330.8</v>
      </c>
      <c r="E463">
        <v>57.8</v>
      </c>
      <c r="G463">
        <f t="shared" si="51"/>
        <v>330.8</v>
      </c>
      <c r="H463" s="2">
        <f t="shared" si="52"/>
        <v>1.8447887323943661</v>
      </c>
      <c r="J463" s="2">
        <f t="shared" si="53"/>
        <v>3.022974607013301</v>
      </c>
      <c r="K463" s="3">
        <f t="shared" si="54"/>
        <v>1.2168387410036383</v>
      </c>
      <c r="M463">
        <f t="shared" si="55"/>
        <v>1.0079219987812311</v>
      </c>
    </row>
    <row r="464" spans="1:13" x14ac:dyDescent="0.25">
      <c r="A464" s="4" t="s">
        <v>465</v>
      </c>
      <c r="B464" s="4">
        <v>147</v>
      </c>
      <c r="C464">
        <f t="shared" si="49"/>
        <v>0.73499999999999999</v>
      </c>
      <c r="D464">
        <f t="shared" si="50"/>
        <v>330.7</v>
      </c>
      <c r="E464">
        <v>57.7</v>
      </c>
      <c r="G464">
        <f t="shared" si="51"/>
        <v>330.7</v>
      </c>
      <c r="H464" s="2">
        <f t="shared" si="52"/>
        <v>1.8323239436619718</v>
      </c>
      <c r="J464" s="2">
        <f t="shared" si="53"/>
        <v>3.0238887208950711</v>
      </c>
      <c r="K464" s="3">
        <f t="shared" si="54"/>
        <v>1.2035817101946702</v>
      </c>
      <c r="M464">
        <f t="shared" si="55"/>
        <v>1.0076173065204144</v>
      </c>
    </row>
    <row r="465" spans="1:13" x14ac:dyDescent="0.25">
      <c r="A465" s="4" t="s">
        <v>466</v>
      </c>
      <c r="B465" s="4">
        <v>146</v>
      </c>
      <c r="C465">
        <f t="shared" si="49"/>
        <v>0.73</v>
      </c>
      <c r="D465">
        <f t="shared" si="50"/>
        <v>330.7</v>
      </c>
      <c r="E465">
        <v>57.7</v>
      </c>
      <c r="G465">
        <f t="shared" si="51"/>
        <v>330.7</v>
      </c>
      <c r="H465" s="2">
        <f t="shared" si="52"/>
        <v>1.8198591549295775</v>
      </c>
      <c r="J465" s="2">
        <f t="shared" si="53"/>
        <v>3.0238887208950711</v>
      </c>
      <c r="K465" s="3">
        <f t="shared" si="54"/>
        <v>1.1899297800538704</v>
      </c>
      <c r="M465">
        <f t="shared" si="55"/>
        <v>1.0076173065204144</v>
      </c>
    </row>
    <row r="466" spans="1:13" x14ac:dyDescent="0.25">
      <c r="A466" s="4" t="s">
        <v>467</v>
      </c>
      <c r="B466" s="4">
        <v>148</v>
      </c>
      <c r="C466">
        <f t="shared" si="49"/>
        <v>0.74</v>
      </c>
      <c r="D466">
        <f t="shared" si="50"/>
        <v>330.7</v>
      </c>
      <c r="E466">
        <v>57.7</v>
      </c>
      <c r="G466">
        <f t="shared" si="51"/>
        <v>330.7</v>
      </c>
      <c r="H466" s="2">
        <f t="shared" si="52"/>
        <v>1.8447887323943661</v>
      </c>
      <c r="J466" s="2">
        <f t="shared" si="53"/>
        <v>3.0238887208950711</v>
      </c>
      <c r="K466" s="3">
        <f t="shared" si="54"/>
        <v>1.2171410841654275</v>
      </c>
      <c r="M466">
        <f t="shared" si="55"/>
        <v>1.0076173065204144</v>
      </c>
    </row>
    <row r="467" spans="1:13" x14ac:dyDescent="0.25">
      <c r="A467" s="4" t="s">
        <v>468</v>
      </c>
      <c r="B467" s="4">
        <v>145</v>
      </c>
      <c r="C467">
        <f t="shared" si="49"/>
        <v>0.72499999999999998</v>
      </c>
      <c r="D467">
        <f t="shared" si="50"/>
        <v>330.7</v>
      </c>
      <c r="E467">
        <v>57.7</v>
      </c>
      <c r="G467">
        <f t="shared" si="51"/>
        <v>330.7</v>
      </c>
      <c r="H467" s="2">
        <f t="shared" si="52"/>
        <v>1.807394366197183</v>
      </c>
      <c r="J467" s="2">
        <f t="shared" si="53"/>
        <v>3.0238887208950711</v>
      </c>
      <c r="K467" s="3">
        <f t="shared" si="54"/>
        <v>1.1761840214783461</v>
      </c>
      <c r="M467">
        <f t="shared" si="55"/>
        <v>1.0076173065204144</v>
      </c>
    </row>
    <row r="468" spans="1:13" x14ac:dyDescent="0.25">
      <c r="A468" s="4" t="s">
        <v>469</v>
      </c>
      <c r="B468" s="4">
        <v>147</v>
      </c>
      <c r="C468">
        <f t="shared" si="49"/>
        <v>0.73499999999999999</v>
      </c>
      <c r="D468">
        <f t="shared" si="50"/>
        <v>330.7</v>
      </c>
      <c r="E468">
        <v>57.7</v>
      </c>
      <c r="G468">
        <f t="shared" si="51"/>
        <v>330.7</v>
      </c>
      <c r="H468" s="2">
        <f t="shared" si="52"/>
        <v>1.8323239436619718</v>
      </c>
      <c r="J468" s="2">
        <f t="shared" si="53"/>
        <v>3.0238887208950711</v>
      </c>
      <c r="K468" s="3">
        <f t="shared" si="54"/>
        <v>1.2035817101946702</v>
      </c>
      <c r="M468">
        <f t="shared" si="55"/>
        <v>1.0076173065204144</v>
      </c>
    </row>
    <row r="469" spans="1:13" x14ac:dyDescent="0.25">
      <c r="A469" s="4" t="s">
        <v>470</v>
      </c>
      <c r="B469" s="4">
        <v>145</v>
      </c>
      <c r="C469">
        <f t="shared" si="49"/>
        <v>0.72499999999999998</v>
      </c>
      <c r="D469">
        <f t="shared" si="50"/>
        <v>330.7</v>
      </c>
      <c r="E469">
        <v>57.7</v>
      </c>
      <c r="G469">
        <f t="shared" si="51"/>
        <v>330.7</v>
      </c>
      <c r="H469" s="2">
        <f t="shared" si="52"/>
        <v>1.807394366197183</v>
      </c>
      <c r="J469" s="2">
        <f t="shared" si="53"/>
        <v>3.0238887208950711</v>
      </c>
      <c r="K469" s="3">
        <f t="shared" si="54"/>
        <v>1.1761840214783461</v>
      </c>
      <c r="M469">
        <f t="shared" si="55"/>
        <v>1.0076173065204144</v>
      </c>
    </row>
    <row r="470" spans="1:13" x14ac:dyDescent="0.25">
      <c r="A470" s="4" t="s">
        <v>471</v>
      </c>
      <c r="B470" s="4">
        <v>143</v>
      </c>
      <c r="C470">
        <f t="shared" si="49"/>
        <v>0.71499999999999997</v>
      </c>
      <c r="D470">
        <f t="shared" si="50"/>
        <v>330.7</v>
      </c>
      <c r="E470">
        <v>57.7</v>
      </c>
      <c r="G470">
        <f t="shared" si="51"/>
        <v>330.7</v>
      </c>
      <c r="H470" s="2">
        <f t="shared" si="52"/>
        <v>1.7824647887323946</v>
      </c>
      <c r="J470" s="2">
        <f t="shared" si="53"/>
        <v>3.0238887208950711</v>
      </c>
      <c r="K470" s="3">
        <f t="shared" si="54"/>
        <v>1.1484057971570123</v>
      </c>
      <c r="M470">
        <f t="shared" si="55"/>
        <v>1.0076173065204144</v>
      </c>
    </row>
    <row r="471" spans="1:13" x14ac:dyDescent="0.25">
      <c r="A471" s="4" t="s">
        <v>472</v>
      </c>
      <c r="B471" s="4">
        <v>148</v>
      </c>
      <c r="C471">
        <f t="shared" si="49"/>
        <v>0.74</v>
      </c>
      <c r="D471">
        <f t="shared" si="50"/>
        <v>330.7</v>
      </c>
      <c r="E471">
        <v>57.7</v>
      </c>
      <c r="G471">
        <f t="shared" si="51"/>
        <v>330.7</v>
      </c>
      <c r="H471" s="2">
        <f t="shared" si="52"/>
        <v>1.8447887323943661</v>
      </c>
      <c r="J471" s="2">
        <f t="shared" si="53"/>
        <v>3.0238887208950711</v>
      </c>
      <c r="K471" s="3">
        <f t="shared" si="54"/>
        <v>1.2171410841654275</v>
      </c>
      <c r="M471">
        <f t="shared" si="55"/>
        <v>1.0076173065204144</v>
      </c>
    </row>
    <row r="472" spans="1:13" x14ac:dyDescent="0.25">
      <c r="A472" s="4" t="s">
        <v>473</v>
      </c>
      <c r="B472" s="4">
        <v>145</v>
      </c>
      <c r="C472">
        <f t="shared" si="49"/>
        <v>0.72499999999999998</v>
      </c>
      <c r="D472">
        <f t="shared" si="50"/>
        <v>330.7</v>
      </c>
      <c r="E472">
        <v>57.7</v>
      </c>
      <c r="G472">
        <f t="shared" si="51"/>
        <v>330.7</v>
      </c>
      <c r="H472" s="2">
        <f t="shared" si="52"/>
        <v>1.807394366197183</v>
      </c>
      <c r="J472" s="2">
        <f t="shared" si="53"/>
        <v>3.0238887208950711</v>
      </c>
      <c r="K472" s="3">
        <f t="shared" si="54"/>
        <v>1.1761840214783461</v>
      </c>
      <c r="M472">
        <f t="shared" si="55"/>
        <v>1.0076173065204144</v>
      </c>
    </row>
    <row r="473" spans="1:13" x14ac:dyDescent="0.25">
      <c r="A473" s="4" t="s">
        <v>474</v>
      </c>
      <c r="B473" s="4">
        <v>145</v>
      </c>
      <c r="C473">
        <f t="shared" si="49"/>
        <v>0.72499999999999998</v>
      </c>
      <c r="D473">
        <f t="shared" si="50"/>
        <v>330.7</v>
      </c>
      <c r="E473">
        <v>57.7</v>
      </c>
      <c r="G473">
        <f t="shared" si="51"/>
        <v>330.7</v>
      </c>
      <c r="H473" s="2">
        <f t="shared" si="52"/>
        <v>1.807394366197183</v>
      </c>
      <c r="J473" s="2">
        <f t="shared" si="53"/>
        <v>3.0238887208950711</v>
      </c>
      <c r="K473" s="3">
        <f t="shared" si="54"/>
        <v>1.1761840214783461</v>
      </c>
      <c r="M473">
        <f t="shared" si="55"/>
        <v>1.0076173065204144</v>
      </c>
    </row>
    <row r="474" spans="1:13" x14ac:dyDescent="0.25">
      <c r="A474" s="4" t="s">
        <v>475</v>
      </c>
      <c r="B474" s="4">
        <v>145</v>
      </c>
      <c r="C474">
        <f t="shared" si="49"/>
        <v>0.72499999999999998</v>
      </c>
      <c r="D474">
        <f t="shared" si="50"/>
        <v>330.6</v>
      </c>
      <c r="E474">
        <v>57.6</v>
      </c>
      <c r="G474">
        <f t="shared" si="51"/>
        <v>330.6</v>
      </c>
      <c r="H474" s="2">
        <f t="shared" si="52"/>
        <v>1.807394366197183</v>
      </c>
      <c r="J474" s="2">
        <f t="shared" si="53"/>
        <v>3.024803387779794</v>
      </c>
      <c r="K474" s="3">
        <f t="shared" si="54"/>
        <v>1.1764864560791695</v>
      </c>
      <c r="M474">
        <f t="shared" si="55"/>
        <v>1.0073126142595978</v>
      </c>
    </row>
    <row r="475" spans="1:13" x14ac:dyDescent="0.25">
      <c r="A475" s="4" t="s">
        <v>476</v>
      </c>
      <c r="B475" s="4">
        <v>145</v>
      </c>
      <c r="C475">
        <f t="shared" si="49"/>
        <v>0.72499999999999998</v>
      </c>
      <c r="D475">
        <f t="shared" si="50"/>
        <v>330.6</v>
      </c>
      <c r="E475">
        <v>57.6</v>
      </c>
      <c r="G475">
        <f t="shared" si="51"/>
        <v>330.6</v>
      </c>
      <c r="H475" s="2">
        <f t="shared" si="52"/>
        <v>1.807394366197183</v>
      </c>
      <c r="J475" s="2">
        <f t="shared" si="53"/>
        <v>3.024803387779794</v>
      </c>
      <c r="K475" s="3">
        <f t="shared" si="54"/>
        <v>1.1764864560791695</v>
      </c>
      <c r="M475">
        <f t="shared" si="55"/>
        <v>1.0073126142595978</v>
      </c>
    </row>
    <row r="476" spans="1:13" x14ac:dyDescent="0.25">
      <c r="A476" s="4" t="s">
        <v>477</v>
      </c>
      <c r="B476" s="4">
        <v>146</v>
      </c>
      <c r="C476">
        <f t="shared" si="49"/>
        <v>0.73</v>
      </c>
      <c r="D476">
        <f t="shared" si="50"/>
        <v>330.6</v>
      </c>
      <c r="E476">
        <v>57.6</v>
      </c>
      <c r="G476">
        <f t="shared" si="51"/>
        <v>330.6</v>
      </c>
      <c r="H476" s="2">
        <f t="shared" si="52"/>
        <v>1.8198591549295775</v>
      </c>
      <c r="J476" s="2">
        <f t="shared" si="53"/>
        <v>3.024803387779794</v>
      </c>
      <c r="K476" s="3">
        <f t="shared" si="54"/>
        <v>1.1902322146546938</v>
      </c>
      <c r="M476">
        <f t="shared" si="55"/>
        <v>1.0073126142595978</v>
      </c>
    </row>
    <row r="477" spans="1:13" x14ac:dyDescent="0.25">
      <c r="A477" s="4" t="s">
        <v>478</v>
      </c>
      <c r="B477" s="4">
        <v>143</v>
      </c>
      <c r="C477">
        <f t="shared" si="49"/>
        <v>0.71499999999999997</v>
      </c>
      <c r="D477">
        <f t="shared" si="50"/>
        <v>330.4</v>
      </c>
      <c r="E477">
        <v>57.4</v>
      </c>
      <c r="G477">
        <f t="shared" si="51"/>
        <v>330.4</v>
      </c>
      <c r="H477" s="2">
        <f t="shared" si="52"/>
        <v>1.7824647887323946</v>
      </c>
      <c r="J477" s="2">
        <f t="shared" si="53"/>
        <v>3.026634382566586</v>
      </c>
      <c r="K477" s="3">
        <f t="shared" si="54"/>
        <v>1.1493133754979363</v>
      </c>
      <c r="M477">
        <f t="shared" si="55"/>
        <v>1.0067032297379646</v>
      </c>
    </row>
    <row r="478" spans="1:13" x14ac:dyDescent="0.25">
      <c r="A478" s="4" t="s">
        <v>479</v>
      </c>
      <c r="B478" s="4">
        <v>144</v>
      </c>
      <c r="C478">
        <f t="shared" si="49"/>
        <v>0.72</v>
      </c>
      <c r="D478">
        <f t="shared" si="50"/>
        <v>330.4</v>
      </c>
      <c r="E478">
        <v>57.4</v>
      </c>
      <c r="G478">
        <f t="shared" si="51"/>
        <v>330.4</v>
      </c>
      <c r="H478" s="2">
        <f t="shared" si="52"/>
        <v>1.7949295774647887</v>
      </c>
      <c r="J478" s="2">
        <f t="shared" si="53"/>
        <v>3.026634382566586</v>
      </c>
      <c r="K478" s="3">
        <f t="shared" si="54"/>
        <v>1.1632507141301229</v>
      </c>
      <c r="M478">
        <f t="shared" si="55"/>
        <v>1.0067032297379646</v>
      </c>
    </row>
    <row r="479" spans="1:13" x14ac:dyDescent="0.25">
      <c r="A479" s="4" t="s">
        <v>480</v>
      </c>
      <c r="B479" s="4">
        <v>145</v>
      </c>
      <c r="C479">
        <f t="shared" si="49"/>
        <v>0.72499999999999998</v>
      </c>
      <c r="D479">
        <f t="shared" si="50"/>
        <v>330.4</v>
      </c>
      <c r="E479">
        <v>57.4</v>
      </c>
      <c r="G479">
        <f t="shared" si="51"/>
        <v>330.4</v>
      </c>
      <c r="H479" s="2">
        <f t="shared" si="52"/>
        <v>1.807394366197183</v>
      </c>
      <c r="J479" s="2">
        <f t="shared" si="53"/>
        <v>3.026634382566586</v>
      </c>
      <c r="K479" s="3">
        <f t="shared" si="54"/>
        <v>1.1770915998192704</v>
      </c>
      <c r="M479">
        <f t="shared" si="55"/>
        <v>1.0067032297379646</v>
      </c>
    </row>
    <row r="480" spans="1:13" x14ac:dyDescent="0.25">
      <c r="A480" s="4" t="s">
        <v>481</v>
      </c>
      <c r="B480" s="4">
        <v>144</v>
      </c>
      <c r="C480">
        <f t="shared" si="49"/>
        <v>0.72</v>
      </c>
      <c r="D480">
        <f t="shared" si="50"/>
        <v>330.2</v>
      </c>
      <c r="E480">
        <v>57.2</v>
      </c>
      <c r="G480">
        <f t="shared" si="51"/>
        <v>330.2</v>
      </c>
      <c r="H480" s="2">
        <f t="shared" si="52"/>
        <v>1.7949295774647887</v>
      </c>
      <c r="J480" s="2">
        <f t="shared" si="53"/>
        <v>3.0284675953967293</v>
      </c>
      <c r="K480" s="3">
        <f t="shared" si="54"/>
        <v>1.1638562242909181</v>
      </c>
      <c r="M480">
        <f t="shared" si="55"/>
        <v>1.0060938452163315</v>
      </c>
    </row>
    <row r="481" spans="1:13" x14ac:dyDescent="0.25">
      <c r="A481" s="4" t="s">
        <v>482</v>
      </c>
      <c r="B481" s="4">
        <v>144</v>
      </c>
      <c r="C481">
        <f t="shared" si="49"/>
        <v>0.72</v>
      </c>
      <c r="D481">
        <f t="shared" si="50"/>
        <v>330.2</v>
      </c>
      <c r="E481">
        <v>57.2</v>
      </c>
      <c r="G481">
        <f t="shared" si="51"/>
        <v>330.2</v>
      </c>
      <c r="H481" s="2">
        <f t="shared" si="52"/>
        <v>1.7949295774647887</v>
      </c>
      <c r="J481" s="2">
        <f t="shared" si="53"/>
        <v>3.0284675953967293</v>
      </c>
      <c r="K481" s="3">
        <f t="shared" si="54"/>
        <v>1.1638562242909181</v>
      </c>
      <c r="M481">
        <f t="shared" si="55"/>
        <v>1.0060938452163315</v>
      </c>
    </row>
    <row r="482" spans="1:13" x14ac:dyDescent="0.25">
      <c r="A482" s="4" t="s">
        <v>483</v>
      </c>
      <c r="B482" s="4">
        <v>143</v>
      </c>
      <c r="C482">
        <f t="shared" si="49"/>
        <v>0.71499999999999997</v>
      </c>
      <c r="D482">
        <f t="shared" si="50"/>
        <v>330.2</v>
      </c>
      <c r="E482">
        <v>57.2</v>
      </c>
      <c r="G482">
        <f t="shared" si="51"/>
        <v>330.2</v>
      </c>
      <c r="H482" s="2">
        <f t="shared" si="52"/>
        <v>1.7824647887323946</v>
      </c>
      <c r="J482" s="2">
        <f t="shared" si="53"/>
        <v>3.0284675953967293</v>
      </c>
      <c r="K482" s="3">
        <f t="shared" si="54"/>
        <v>1.1499188856587319</v>
      </c>
      <c r="M482">
        <f t="shared" si="55"/>
        <v>1.0060938452163315</v>
      </c>
    </row>
    <row r="483" spans="1:13" x14ac:dyDescent="0.25">
      <c r="A483" s="4" t="s">
        <v>484</v>
      </c>
      <c r="B483" s="4">
        <v>144</v>
      </c>
      <c r="C483">
        <f t="shared" si="49"/>
        <v>0.72</v>
      </c>
      <c r="D483">
        <f t="shared" si="50"/>
        <v>330.1</v>
      </c>
      <c r="E483">
        <v>57.1</v>
      </c>
      <c r="G483">
        <f t="shared" si="51"/>
        <v>330.1</v>
      </c>
      <c r="H483" s="2">
        <f t="shared" si="52"/>
        <v>1.7949295774647887</v>
      </c>
      <c r="J483" s="2">
        <f t="shared" si="53"/>
        <v>3.0293850348379276</v>
      </c>
      <c r="K483" s="3">
        <f t="shared" si="54"/>
        <v>1.1641591169177985</v>
      </c>
      <c r="M483">
        <f t="shared" si="55"/>
        <v>1.005789152955515</v>
      </c>
    </row>
    <row r="484" spans="1:13" x14ac:dyDescent="0.25">
      <c r="A484" s="4" t="s">
        <v>485</v>
      </c>
      <c r="B484" s="4">
        <v>146</v>
      </c>
      <c r="C484">
        <f t="shared" si="49"/>
        <v>0.73</v>
      </c>
      <c r="D484">
        <f t="shared" si="50"/>
        <v>330.1</v>
      </c>
      <c r="E484">
        <v>57.1</v>
      </c>
      <c r="G484">
        <f t="shared" si="51"/>
        <v>330.1</v>
      </c>
      <c r="H484" s="2">
        <f t="shared" si="52"/>
        <v>1.8198591549295775</v>
      </c>
      <c r="J484" s="2">
        <f t="shared" si="53"/>
        <v>3.0293850348379276</v>
      </c>
      <c r="K484" s="3">
        <f t="shared" si="54"/>
        <v>1.1917457611824702</v>
      </c>
      <c r="M484">
        <f t="shared" si="55"/>
        <v>1.005789152955515</v>
      </c>
    </row>
    <row r="485" spans="1:13" x14ac:dyDescent="0.25">
      <c r="A485" s="4" t="s">
        <v>486</v>
      </c>
      <c r="B485" s="4">
        <v>144</v>
      </c>
      <c r="C485">
        <f t="shared" si="49"/>
        <v>0.72</v>
      </c>
      <c r="D485">
        <f t="shared" si="50"/>
        <v>330.1</v>
      </c>
      <c r="E485">
        <v>57.1</v>
      </c>
      <c r="G485">
        <f t="shared" si="51"/>
        <v>330.1</v>
      </c>
      <c r="H485" s="2">
        <f t="shared" si="52"/>
        <v>1.7949295774647887</v>
      </c>
      <c r="J485" s="2">
        <f t="shared" si="53"/>
        <v>3.0293850348379276</v>
      </c>
      <c r="K485" s="3">
        <f t="shared" si="54"/>
        <v>1.1641591169177985</v>
      </c>
      <c r="M485">
        <f t="shared" si="55"/>
        <v>1.005789152955515</v>
      </c>
    </row>
    <row r="486" spans="1:13" x14ac:dyDescent="0.25">
      <c r="A486" s="4" t="s">
        <v>487</v>
      </c>
      <c r="B486" s="4">
        <v>145</v>
      </c>
      <c r="C486">
        <f t="shared" si="49"/>
        <v>0.72499999999999998</v>
      </c>
      <c r="D486">
        <f t="shared" si="50"/>
        <v>329.9</v>
      </c>
      <c r="E486">
        <v>56.9</v>
      </c>
      <c r="G486">
        <f t="shared" si="51"/>
        <v>329.9</v>
      </c>
      <c r="H486" s="2">
        <f t="shared" si="52"/>
        <v>1.807394366197183</v>
      </c>
      <c r="J486" s="2">
        <f t="shared" si="53"/>
        <v>3.031221582297666</v>
      </c>
      <c r="K486" s="3">
        <f t="shared" si="54"/>
        <v>1.1786060632315576</v>
      </c>
      <c r="M486">
        <f t="shared" si="55"/>
        <v>1.0051797684338817</v>
      </c>
    </row>
    <row r="487" spans="1:13" x14ac:dyDescent="0.25">
      <c r="A487" s="4" t="s">
        <v>488</v>
      </c>
      <c r="B487" s="4">
        <v>145</v>
      </c>
      <c r="C487">
        <f t="shared" si="49"/>
        <v>0.72499999999999998</v>
      </c>
      <c r="D487">
        <f t="shared" si="50"/>
        <v>329.9</v>
      </c>
      <c r="E487">
        <v>56.9</v>
      </c>
      <c r="G487">
        <f t="shared" si="51"/>
        <v>329.9</v>
      </c>
      <c r="H487" s="2">
        <f t="shared" si="52"/>
        <v>1.807394366197183</v>
      </c>
      <c r="J487" s="2">
        <f t="shared" si="53"/>
        <v>3.031221582297666</v>
      </c>
      <c r="K487" s="3">
        <f t="shared" si="54"/>
        <v>1.1786060632315576</v>
      </c>
      <c r="M487">
        <f t="shared" si="55"/>
        <v>1.0051797684338817</v>
      </c>
    </row>
    <row r="488" spans="1:13" x14ac:dyDescent="0.25">
      <c r="A488" s="4" t="s">
        <v>489</v>
      </c>
      <c r="B488" s="4">
        <v>144</v>
      </c>
      <c r="C488">
        <f t="shared" si="49"/>
        <v>0.72</v>
      </c>
      <c r="D488">
        <f t="shared" si="50"/>
        <v>329.9</v>
      </c>
      <c r="E488">
        <v>56.9</v>
      </c>
      <c r="G488">
        <f t="shared" si="51"/>
        <v>329.9</v>
      </c>
      <c r="H488" s="2">
        <f t="shared" si="52"/>
        <v>1.7949295774647887</v>
      </c>
      <c r="J488" s="2">
        <f t="shared" si="53"/>
        <v>3.031221582297666</v>
      </c>
      <c r="K488" s="3">
        <f t="shared" si="54"/>
        <v>1.1647651775424102</v>
      </c>
      <c r="M488">
        <f t="shared" si="55"/>
        <v>1.0051797684338817</v>
      </c>
    </row>
    <row r="489" spans="1:13" x14ac:dyDescent="0.25">
      <c r="A489" s="4" t="s">
        <v>490</v>
      </c>
      <c r="B489" s="4">
        <v>144</v>
      </c>
      <c r="C489">
        <f t="shared" si="49"/>
        <v>0.72</v>
      </c>
      <c r="D489">
        <f t="shared" si="50"/>
        <v>329.9</v>
      </c>
      <c r="E489">
        <v>56.9</v>
      </c>
      <c r="G489">
        <f t="shared" si="51"/>
        <v>329.9</v>
      </c>
      <c r="H489" s="2">
        <f t="shared" si="52"/>
        <v>1.7949295774647887</v>
      </c>
      <c r="J489" s="2">
        <f t="shared" si="53"/>
        <v>3.031221582297666</v>
      </c>
      <c r="K489" s="3">
        <f t="shared" si="54"/>
        <v>1.1647651775424102</v>
      </c>
      <c r="M489">
        <f t="shared" si="55"/>
        <v>1.0051797684338817</v>
      </c>
    </row>
    <row r="490" spans="1:13" x14ac:dyDescent="0.25">
      <c r="A490" s="4" t="s">
        <v>491</v>
      </c>
      <c r="B490" s="4">
        <v>144</v>
      </c>
      <c r="C490">
        <f t="shared" si="49"/>
        <v>0.72</v>
      </c>
      <c r="D490">
        <f t="shared" si="50"/>
        <v>329.8</v>
      </c>
      <c r="E490">
        <v>56.8</v>
      </c>
      <c r="G490">
        <f t="shared" si="51"/>
        <v>329.8</v>
      </c>
      <c r="H490" s="2">
        <f t="shared" si="52"/>
        <v>1.7949295774647887</v>
      </c>
      <c r="J490" s="2">
        <f t="shared" si="53"/>
        <v>3.0321406913280775</v>
      </c>
      <c r="K490" s="3">
        <f t="shared" si="54"/>
        <v>1.165068345651447</v>
      </c>
      <c r="M490">
        <f t="shared" si="55"/>
        <v>1.0048750761730654</v>
      </c>
    </row>
    <row r="491" spans="1:13" x14ac:dyDescent="0.25">
      <c r="A491" s="4" t="s">
        <v>492</v>
      </c>
      <c r="B491" s="4">
        <v>144</v>
      </c>
      <c r="C491">
        <f t="shared" si="49"/>
        <v>0.72</v>
      </c>
      <c r="D491">
        <f t="shared" si="50"/>
        <v>329.8</v>
      </c>
      <c r="E491">
        <v>56.8</v>
      </c>
      <c r="G491">
        <f t="shared" si="51"/>
        <v>329.8</v>
      </c>
      <c r="H491" s="2">
        <f t="shared" si="52"/>
        <v>1.7949295774647887</v>
      </c>
      <c r="J491" s="2">
        <f t="shared" si="53"/>
        <v>3.0321406913280775</v>
      </c>
      <c r="K491" s="3">
        <f t="shared" si="54"/>
        <v>1.165068345651447</v>
      </c>
      <c r="M491">
        <f t="shared" si="55"/>
        <v>1.0048750761730654</v>
      </c>
    </row>
    <row r="492" spans="1:13" x14ac:dyDescent="0.25">
      <c r="A492" s="4" t="s">
        <v>493</v>
      </c>
      <c r="B492" s="4">
        <v>144</v>
      </c>
      <c r="C492">
        <f t="shared" si="49"/>
        <v>0.72</v>
      </c>
      <c r="D492">
        <f t="shared" si="50"/>
        <v>329.8</v>
      </c>
      <c r="E492">
        <v>56.8</v>
      </c>
      <c r="G492">
        <f t="shared" si="51"/>
        <v>329.8</v>
      </c>
      <c r="H492" s="2">
        <f t="shared" si="52"/>
        <v>1.7949295774647887</v>
      </c>
      <c r="J492" s="2">
        <f t="shared" si="53"/>
        <v>3.0321406913280775</v>
      </c>
      <c r="K492" s="3">
        <f t="shared" si="54"/>
        <v>1.165068345651447</v>
      </c>
      <c r="M492">
        <f t="shared" si="55"/>
        <v>1.0048750761730654</v>
      </c>
    </row>
    <row r="493" spans="1:13" x14ac:dyDescent="0.25">
      <c r="A493" s="4" t="s">
        <v>494</v>
      </c>
      <c r="B493" s="4">
        <v>143</v>
      </c>
      <c r="C493">
        <f t="shared" si="49"/>
        <v>0.71499999999999997</v>
      </c>
      <c r="D493">
        <f t="shared" si="50"/>
        <v>329.8</v>
      </c>
      <c r="E493">
        <v>56.8</v>
      </c>
      <c r="G493">
        <f t="shared" si="51"/>
        <v>329.8</v>
      </c>
      <c r="H493" s="2">
        <f t="shared" si="52"/>
        <v>1.7824647887323946</v>
      </c>
      <c r="J493" s="2">
        <f t="shared" si="53"/>
        <v>3.0321406913280775</v>
      </c>
      <c r="K493" s="3">
        <f t="shared" si="54"/>
        <v>1.1511310070192606</v>
      </c>
      <c r="M493">
        <f t="shared" si="55"/>
        <v>1.0048750761730654</v>
      </c>
    </row>
    <row r="494" spans="1:13" x14ac:dyDescent="0.25">
      <c r="A494" s="4" t="s">
        <v>495</v>
      </c>
      <c r="B494" s="4">
        <v>143</v>
      </c>
      <c r="C494">
        <f t="shared" si="49"/>
        <v>0.71499999999999997</v>
      </c>
      <c r="D494">
        <f t="shared" si="50"/>
        <v>329.8</v>
      </c>
      <c r="E494">
        <v>56.8</v>
      </c>
      <c r="G494">
        <f t="shared" si="51"/>
        <v>329.8</v>
      </c>
      <c r="H494" s="2">
        <f t="shared" si="52"/>
        <v>1.7824647887323946</v>
      </c>
      <c r="J494" s="2">
        <f t="shared" si="53"/>
        <v>3.0321406913280775</v>
      </c>
      <c r="K494" s="3">
        <f t="shared" si="54"/>
        <v>1.1511310070192606</v>
      </c>
      <c r="M494">
        <f t="shared" si="55"/>
        <v>1.0048750761730654</v>
      </c>
    </row>
    <row r="495" spans="1:13" x14ac:dyDescent="0.25">
      <c r="A495" s="4" t="s">
        <v>496</v>
      </c>
      <c r="B495" s="4">
        <v>144</v>
      </c>
      <c r="C495">
        <f t="shared" si="49"/>
        <v>0.72</v>
      </c>
      <c r="D495">
        <f t="shared" si="50"/>
        <v>329.8</v>
      </c>
      <c r="E495">
        <v>56.8</v>
      </c>
      <c r="G495">
        <f t="shared" si="51"/>
        <v>329.8</v>
      </c>
      <c r="H495" s="2">
        <f t="shared" si="52"/>
        <v>1.7949295774647887</v>
      </c>
      <c r="J495" s="2">
        <f t="shared" si="53"/>
        <v>3.0321406913280775</v>
      </c>
      <c r="K495" s="3">
        <f t="shared" si="54"/>
        <v>1.165068345651447</v>
      </c>
      <c r="M495">
        <f t="shared" si="55"/>
        <v>1.0048750761730654</v>
      </c>
    </row>
    <row r="496" spans="1:13" x14ac:dyDescent="0.25">
      <c r="A496" s="4" t="s">
        <v>497</v>
      </c>
      <c r="B496" s="4">
        <v>144</v>
      </c>
      <c r="C496">
        <f t="shared" si="49"/>
        <v>0.72</v>
      </c>
      <c r="D496">
        <f t="shared" si="50"/>
        <v>329.8</v>
      </c>
      <c r="E496">
        <v>56.8</v>
      </c>
      <c r="G496">
        <f t="shared" si="51"/>
        <v>329.8</v>
      </c>
      <c r="H496" s="2">
        <f t="shared" si="52"/>
        <v>1.7949295774647887</v>
      </c>
      <c r="J496" s="2">
        <f t="shared" si="53"/>
        <v>3.0321406913280775</v>
      </c>
      <c r="K496" s="3">
        <f t="shared" si="54"/>
        <v>1.165068345651447</v>
      </c>
      <c r="M496">
        <f t="shared" si="55"/>
        <v>1.0048750761730654</v>
      </c>
    </row>
    <row r="497" spans="1:13" x14ac:dyDescent="0.25">
      <c r="A497" s="4" t="s">
        <v>498</v>
      </c>
      <c r="B497" s="4">
        <v>143</v>
      </c>
      <c r="C497">
        <f t="shared" si="49"/>
        <v>0.71499999999999997</v>
      </c>
      <c r="D497">
        <f t="shared" si="50"/>
        <v>329.8</v>
      </c>
      <c r="E497">
        <v>56.8</v>
      </c>
      <c r="G497">
        <f t="shared" si="51"/>
        <v>329.8</v>
      </c>
      <c r="H497" s="2">
        <f t="shared" si="52"/>
        <v>1.7824647887323946</v>
      </c>
      <c r="J497" s="2">
        <f t="shared" si="53"/>
        <v>3.0321406913280775</v>
      </c>
      <c r="K497" s="3">
        <f t="shared" si="54"/>
        <v>1.1511310070192606</v>
      </c>
      <c r="M497">
        <f t="shared" si="55"/>
        <v>1.0048750761730654</v>
      </c>
    </row>
    <row r="498" spans="1:13" x14ac:dyDescent="0.25">
      <c r="A498" s="4" t="s">
        <v>499</v>
      </c>
      <c r="B498" s="4">
        <v>144</v>
      </c>
      <c r="C498">
        <f t="shared" si="49"/>
        <v>0.72</v>
      </c>
      <c r="D498">
        <f t="shared" si="50"/>
        <v>329.8</v>
      </c>
      <c r="E498">
        <v>56.8</v>
      </c>
      <c r="G498">
        <f t="shared" si="51"/>
        <v>329.8</v>
      </c>
      <c r="H498" s="2">
        <f t="shared" si="52"/>
        <v>1.7949295774647887</v>
      </c>
      <c r="J498" s="2">
        <f t="shared" si="53"/>
        <v>3.0321406913280775</v>
      </c>
      <c r="K498" s="3">
        <f t="shared" si="54"/>
        <v>1.165068345651447</v>
      </c>
      <c r="M498">
        <f t="shared" si="55"/>
        <v>1.0048750761730654</v>
      </c>
    </row>
    <row r="499" spans="1:13" x14ac:dyDescent="0.25">
      <c r="A499" s="4" t="s">
        <v>500</v>
      </c>
      <c r="B499" s="4">
        <v>144</v>
      </c>
      <c r="C499">
        <f t="shared" si="49"/>
        <v>0.72</v>
      </c>
      <c r="D499">
        <f t="shared" si="50"/>
        <v>329.4</v>
      </c>
      <c r="E499">
        <v>56.4</v>
      </c>
      <c r="G499">
        <f t="shared" si="51"/>
        <v>329.4</v>
      </c>
      <c r="H499" s="2">
        <f t="shared" si="52"/>
        <v>1.7949295774647887</v>
      </c>
      <c r="J499" s="2">
        <f t="shared" si="53"/>
        <v>3.0358227079538556</v>
      </c>
      <c r="K499" s="3">
        <f t="shared" si="54"/>
        <v>1.166281938033406</v>
      </c>
      <c r="M499">
        <f t="shared" si="55"/>
        <v>1.0036563071297988</v>
      </c>
    </row>
    <row r="500" spans="1:13" x14ac:dyDescent="0.25">
      <c r="A500" s="4" t="s">
        <v>501</v>
      </c>
      <c r="B500" s="4">
        <v>143</v>
      </c>
      <c r="C500">
        <f t="shared" si="49"/>
        <v>0.71499999999999997</v>
      </c>
      <c r="D500">
        <f t="shared" si="50"/>
        <v>329.4</v>
      </c>
      <c r="E500">
        <v>56.4</v>
      </c>
      <c r="G500">
        <f t="shared" si="51"/>
        <v>329.4</v>
      </c>
      <c r="H500" s="2">
        <f t="shared" si="52"/>
        <v>1.7824647887323946</v>
      </c>
      <c r="J500" s="2">
        <f t="shared" si="53"/>
        <v>3.0358227079538556</v>
      </c>
      <c r="K500" s="3">
        <f t="shared" si="54"/>
        <v>1.1523445994012196</v>
      </c>
      <c r="M500">
        <f t="shared" si="55"/>
        <v>1.0036563071297988</v>
      </c>
    </row>
    <row r="501" spans="1:13" x14ac:dyDescent="0.25">
      <c r="A501" s="4" t="s">
        <v>502</v>
      </c>
      <c r="B501" s="4">
        <v>143</v>
      </c>
      <c r="C501">
        <f t="shared" si="49"/>
        <v>0.71499999999999997</v>
      </c>
      <c r="D501">
        <f t="shared" si="50"/>
        <v>329.4</v>
      </c>
      <c r="E501">
        <v>56.4</v>
      </c>
      <c r="G501">
        <f t="shared" si="51"/>
        <v>329.4</v>
      </c>
      <c r="H501" s="2">
        <f t="shared" si="52"/>
        <v>1.7824647887323946</v>
      </c>
      <c r="J501" s="2">
        <f t="shared" si="53"/>
        <v>3.0358227079538556</v>
      </c>
      <c r="K501" s="3">
        <f t="shared" si="54"/>
        <v>1.1523445994012196</v>
      </c>
      <c r="M501">
        <f t="shared" si="55"/>
        <v>1.0036563071297988</v>
      </c>
    </row>
    <row r="502" spans="1:13" x14ac:dyDescent="0.25">
      <c r="A502" s="4" t="s">
        <v>503</v>
      </c>
      <c r="B502" s="4">
        <v>142</v>
      </c>
      <c r="C502">
        <f t="shared" si="49"/>
        <v>0.71</v>
      </c>
      <c r="D502">
        <f t="shared" si="50"/>
        <v>329.2</v>
      </c>
      <c r="E502">
        <v>56.2</v>
      </c>
      <c r="G502">
        <f t="shared" si="51"/>
        <v>329.2</v>
      </c>
      <c r="H502" s="2">
        <f t="shared" si="52"/>
        <v>1.77</v>
      </c>
      <c r="J502" s="2">
        <f t="shared" si="53"/>
        <v>3.0376670716889431</v>
      </c>
      <c r="K502" s="3">
        <f t="shared" si="54"/>
        <v>1.1389168030245513</v>
      </c>
      <c r="M502">
        <f t="shared" si="55"/>
        <v>1.0030469226081657</v>
      </c>
    </row>
    <row r="503" spans="1:13" x14ac:dyDescent="0.25">
      <c r="A503" s="4" t="s">
        <v>504</v>
      </c>
      <c r="B503" s="4">
        <v>142</v>
      </c>
      <c r="C503">
        <f t="shared" si="49"/>
        <v>0.71</v>
      </c>
      <c r="D503">
        <f t="shared" si="50"/>
        <v>329.2</v>
      </c>
      <c r="E503">
        <v>56.2</v>
      </c>
      <c r="G503">
        <f t="shared" si="51"/>
        <v>329.2</v>
      </c>
      <c r="H503" s="2">
        <f t="shared" si="52"/>
        <v>1.77</v>
      </c>
      <c r="J503" s="2">
        <f t="shared" si="53"/>
        <v>3.0376670716889431</v>
      </c>
      <c r="K503" s="3">
        <f t="shared" si="54"/>
        <v>1.1389168030245513</v>
      </c>
      <c r="M503">
        <f t="shared" si="55"/>
        <v>1.0030469226081657</v>
      </c>
    </row>
    <row r="504" spans="1:13" x14ac:dyDescent="0.25">
      <c r="A504" s="4" t="s">
        <v>505</v>
      </c>
      <c r="B504" s="4">
        <v>144</v>
      </c>
      <c r="C504">
        <f t="shared" si="49"/>
        <v>0.72</v>
      </c>
      <c r="D504">
        <f t="shared" si="50"/>
        <v>329.2</v>
      </c>
      <c r="E504">
        <v>56.2</v>
      </c>
      <c r="G504">
        <f t="shared" si="51"/>
        <v>329.2</v>
      </c>
      <c r="H504" s="2">
        <f t="shared" si="52"/>
        <v>1.7949295774647887</v>
      </c>
      <c r="J504" s="2">
        <f t="shared" si="53"/>
        <v>3.0376670716889431</v>
      </c>
      <c r="K504" s="3">
        <f t="shared" si="54"/>
        <v>1.166889286974031</v>
      </c>
      <c r="M504">
        <f t="shared" si="55"/>
        <v>1.0030469226081657</v>
      </c>
    </row>
    <row r="505" spans="1:13" x14ac:dyDescent="0.25">
      <c r="A505" s="4" t="s">
        <v>506</v>
      </c>
      <c r="B505" s="4">
        <v>142</v>
      </c>
      <c r="C505">
        <f t="shared" si="49"/>
        <v>0.71</v>
      </c>
      <c r="D505">
        <f t="shared" si="50"/>
        <v>329.2</v>
      </c>
      <c r="E505">
        <v>56.2</v>
      </c>
      <c r="G505">
        <f t="shared" si="51"/>
        <v>329.2</v>
      </c>
      <c r="H505" s="2">
        <f t="shared" si="52"/>
        <v>1.77</v>
      </c>
      <c r="J505" s="2">
        <f t="shared" si="53"/>
        <v>3.0376670716889431</v>
      </c>
      <c r="K505" s="3">
        <f t="shared" si="54"/>
        <v>1.1389168030245513</v>
      </c>
      <c r="M505">
        <f t="shared" si="55"/>
        <v>1.0030469226081657</v>
      </c>
    </row>
    <row r="506" spans="1:13" x14ac:dyDescent="0.25">
      <c r="A506" s="4" t="s">
        <v>507</v>
      </c>
      <c r="B506" s="4">
        <v>144</v>
      </c>
      <c r="C506">
        <f t="shared" si="49"/>
        <v>0.72</v>
      </c>
      <c r="D506">
        <f t="shared" si="50"/>
        <v>329.2</v>
      </c>
      <c r="E506">
        <v>56.2</v>
      </c>
      <c r="G506">
        <f t="shared" si="51"/>
        <v>329.2</v>
      </c>
      <c r="H506" s="2">
        <f t="shared" si="52"/>
        <v>1.7949295774647887</v>
      </c>
      <c r="J506" s="2">
        <f t="shared" si="53"/>
        <v>3.0376670716889431</v>
      </c>
      <c r="K506" s="3">
        <f t="shared" si="54"/>
        <v>1.166889286974031</v>
      </c>
      <c r="M506">
        <f t="shared" si="55"/>
        <v>1.0030469226081657</v>
      </c>
    </row>
    <row r="507" spans="1:13" x14ac:dyDescent="0.25">
      <c r="A507" s="4" t="s">
        <v>508</v>
      </c>
      <c r="B507" s="4">
        <v>143</v>
      </c>
      <c r="C507">
        <f t="shared" si="49"/>
        <v>0.71499999999999997</v>
      </c>
      <c r="D507">
        <f t="shared" si="50"/>
        <v>329.2</v>
      </c>
      <c r="E507">
        <v>56.2</v>
      </c>
      <c r="G507">
        <f t="shared" si="51"/>
        <v>329.2</v>
      </c>
      <c r="H507" s="2">
        <f t="shared" si="52"/>
        <v>1.7824647887323946</v>
      </c>
      <c r="J507" s="2">
        <f t="shared" si="53"/>
        <v>3.0376670716889431</v>
      </c>
      <c r="K507" s="3">
        <f t="shared" si="54"/>
        <v>1.1529519483418447</v>
      </c>
      <c r="M507">
        <f t="shared" si="55"/>
        <v>1.0030469226081657</v>
      </c>
    </row>
    <row r="508" spans="1:13" x14ac:dyDescent="0.25">
      <c r="A508" s="4" t="s">
        <v>509</v>
      </c>
      <c r="B508" s="4">
        <v>143</v>
      </c>
      <c r="C508">
        <f t="shared" si="49"/>
        <v>0.71499999999999997</v>
      </c>
      <c r="D508">
        <f t="shared" si="50"/>
        <v>329.2</v>
      </c>
      <c r="E508">
        <v>56.2</v>
      </c>
      <c r="G508">
        <f t="shared" si="51"/>
        <v>329.2</v>
      </c>
      <c r="H508" s="2">
        <f t="shared" si="52"/>
        <v>1.7824647887323946</v>
      </c>
      <c r="J508" s="2">
        <f t="shared" si="53"/>
        <v>3.0376670716889431</v>
      </c>
      <c r="K508" s="3">
        <f t="shared" si="54"/>
        <v>1.1529519483418447</v>
      </c>
      <c r="M508">
        <f t="shared" si="55"/>
        <v>1.0030469226081657</v>
      </c>
    </row>
    <row r="509" spans="1:13" x14ac:dyDescent="0.25">
      <c r="A509" s="4" t="s">
        <v>510</v>
      </c>
      <c r="B509" s="4">
        <v>141</v>
      </c>
      <c r="C509">
        <f t="shared" si="49"/>
        <v>0.70499999999999996</v>
      </c>
      <c r="D509">
        <f t="shared" si="50"/>
        <v>328.9</v>
      </c>
      <c r="E509">
        <v>55.9</v>
      </c>
      <c r="G509">
        <f t="shared" si="51"/>
        <v>328.9</v>
      </c>
      <c r="H509" s="2">
        <f t="shared" si="52"/>
        <v>1.7575352112676055</v>
      </c>
      <c r="J509" s="2">
        <f t="shared" si="53"/>
        <v>3.0404378230465188</v>
      </c>
      <c r="K509" s="3">
        <f t="shared" si="54"/>
        <v>1.1256941841862698</v>
      </c>
      <c r="M509">
        <f t="shared" si="55"/>
        <v>1.0021328458257159</v>
      </c>
    </row>
    <row r="510" spans="1:13" x14ac:dyDescent="0.25">
      <c r="A510" s="4" t="s">
        <v>511</v>
      </c>
      <c r="B510" s="4">
        <v>143</v>
      </c>
      <c r="C510">
        <f t="shared" si="49"/>
        <v>0.71499999999999997</v>
      </c>
      <c r="D510">
        <f t="shared" si="50"/>
        <v>328.9</v>
      </c>
      <c r="E510">
        <v>55.9</v>
      </c>
      <c r="G510">
        <f t="shared" si="51"/>
        <v>328.9</v>
      </c>
      <c r="H510" s="2">
        <f t="shared" si="52"/>
        <v>1.7824647887323946</v>
      </c>
      <c r="J510" s="2">
        <f t="shared" si="53"/>
        <v>3.0404378230465188</v>
      </c>
      <c r="K510" s="3">
        <f t="shared" si="54"/>
        <v>1.1538636639497482</v>
      </c>
      <c r="M510">
        <f t="shared" si="55"/>
        <v>1.0021328458257159</v>
      </c>
    </row>
    <row r="511" spans="1:13" x14ac:dyDescent="0.25">
      <c r="A511" s="4" t="s">
        <v>512</v>
      </c>
      <c r="B511" s="4">
        <v>143</v>
      </c>
      <c r="C511">
        <f t="shared" si="49"/>
        <v>0.71499999999999997</v>
      </c>
      <c r="D511">
        <f t="shared" si="50"/>
        <v>328.9</v>
      </c>
      <c r="E511">
        <v>55.9</v>
      </c>
      <c r="G511">
        <f t="shared" si="51"/>
        <v>328.9</v>
      </c>
      <c r="H511" s="2">
        <f t="shared" si="52"/>
        <v>1.7824647887323946</v>
      </c>
      <c r="J511" s="2">
        <f t="shared" si="53"/>
        <v>3.0404378230465188</v>
      </c>
      <c r="K511" s="3">
        <f t="shared" si="54"/>
        <v>1.1538636639497482</v>
      </c>
      <c r="M511">
        <f t="shared" si="55"/>
        <v>1.0021328458257159</v>
      </c>
    </row>
    <row r="512" spans="1:13" x14ac:dyDescent="0.25">
      <c r="A512" s="4" t="s">
        <v>513</v>
      </c>
      <c r="B512" s="4">
        <v>144</v>
      </c>
      <c r="C512">
        <f t="shared" si="49"/>
        <v>0.72</v>
      </c>
      <c r="D512">
        <f t="shared" si="50"/>
        <v>328.7</v>
      </c>
      <c r="E512">
        <v>55.7</v>
      </c>
      <c r="G512">
        <f t="shared" si="51"/>
        <v>328.7</v>
      </c>
      <c r="H512" s="2">
        <f t="shared" si="52"/>
        <v>1.7949295774647887</v>
      </c>
      <c r="J512" s="2">
        <f t="shared" si="53"/>
        <v>3.0422878004259206</v>
      </c>
      <c r="K512" s="3">
        <f t="shared" si="54"/>
        <v>1.1684092751067721</v>
      </c>
      <c r="M512">
        <f t="shared" si="55"/>
        <v>1.0015234613040829</v>
      </c>
    </row>
    <row r="513" spans="1:13" x14ac:dyDescent="0.25">
      <c r="A513" s="4" t="s">
        <v>514</v>
      </c>
      <c r="B513" s="4">
        <v>143</v>
      </c>
      <c r="C513">
        <f t="shared" si="49"/>
        <v>0.71499999999999997</v>
      </c>
      <c r="D513">
        <f t="shared" si="50"/>
        <v>328.7</v>
      </c>
      <c r="E513">
        <v>55.7</v>
      </c>
      <c r="G513">
        <f t="shared" si="51"/>
        <v>328.7</v>
      </c>
      <c r="H513" s="2">
        <f t="shared" si="52"/>
        <v>1.7824647887323946</v>
      </c>
      <c r="J513" s="2">
        <f t="shared" si="53"/>
        <v>3.0422878004259206</v>
      </c>
      <c r="K513" s="3">
        <f t="shared" si="54"/>
        <v>1.1544719364745857</v>
      </c>
      <c r="M513">
        <f t="shared" si="55"/>
        <v>1.0015234613040829</v>
      </c>
    </row>
    <row r="514" spans="1:13" x14ac:dyDescent="0.25">
      <c r="A514" s="4" t="s">
        <v>515</v>
      </c>
      <c r="B514" s="4">
        <v>141</v>
      </c>
      <c r="C514">
        <f t="shared" si="49"/>
        <v>0.70499999999999996</v>
      </c>
      <c r="D514">
        <f t="shared" si="50"/>
        <v>328.7</v>
      </c>
      <c r="E514">
        <v>55.7</v>
      </c>
      <c r="G514">
        <f t="shared" si="51"/>
        <v>328.7</v>
      </c>
      <c r="H514" s="2">
        <f t="shared" si="52"/>
        <v>1.7575352112676055</v>
      </c>
      <c r="J514" s="2">
        <f t="shared" si="53"/>
        <v>3.0422878004259206</v>
      </c>
      <c r="K514" s="3">
        <f t="shared" si="54"/>
        <v>1.1263024567111073</v>
      </c>
      <c r="M514">
        <f t="shared" si="55"/>
        <v>1.0015234613040829</v>
      </c>
    </row>
    <row r="515" spans="1:13" x14ac:dyDescent="0.25">
      <c r="A515" s="4" t="s">
        <v>516</v>
      </c>
      <c r="B515" s="4">
        <v>141</v>
      </c>
      <c r="C515">
        <f t="shared" si="49"/>
        <v>0.70499999999999996</v>
      </c>
      <c r="D515">
        <f t="shared" si="50"/>
        <v>328.4</v>
      </c>
      <c r="E515">
        <v>55.4</v>
      </c>
      <c r="G515">
        <f t="shared" si="51"/>
        <v>328.4</v>
      </c>
      <c r="H515" s="2">
        <f t="shared" si="52"/>
        <v>1.7575352112676055</v>
      </c>
      <c r="J515" s="2">
        <f t="shared" si="53"/>
        <v>3.0450669914738127</v>
      </c>
      <c r="K515" s="3">
        <f t="shared" si="54"/>
        <v>1.1272155598030078</v>
      </c>
      <c r="M515">
        <f t="shared" si="55"/>
        <v>1.0006093845216331</v>
      </c>
    </row>
    <row r="516" spans="1:13" x14ac:dyDescent="0.25">
      <c r="A516" s="4" t="s">
        <v>517</v>
      </c>
      <c r="B516" s="4">
        <v>140</v>
      </c>
      <c r="C516">
        <f t="shared" si="49"/>
        <v>0.7</v>
      </c>
      <c r="D516">
        <f t="shared" si="50"/>
        <v>328.4</v>
      </c>
      <c r="E516">
        <v>55.4</v>
      </c>
      <c r="G516">
        <f t="shared" si="51"/>
        <v>328.4</v>
      </c>
      <c r="H516" s="2">
        <f t="shared" si="52"/>
        <v>1.7450704225352114</v>
      </c>
      <c r="J516" s="2">
        <f t="shared" si="53"/>
        <v>3.0450669914738127</v>
      </c>
      <c r="K516" s="3">
        <f t="shared" si="54"/>
        <v>1.1129806242652804</v>
      </c>
      <c r="M516">
        <f t="shared" si="55"/>
        <v>1.0006093845216331</v>
      </c>
    </row>
    <row r="517" spans="1:13" x14ac:dyDescent="0.25">
      <c r="A517" s="4" t="s">
        <v>518</v>
      </c>
      <c r="B517" s="4">
        <v>141</v>
      </c>
      <c r="C517">
        <f t="shared" si="49"/>
        <v>0.70499999999999996</v>
      </c>
      <c r="D517">
        <f t="shared" si="50"/>
        <v>328.4</v>
      </c>
      <c r="E517">
        <v>55.4</v>
      </c>
      <c r="G517">
        <f t="shared" si="51"/>
        <v>328.4</v>
      </c>
      <c r="H517" s="2">
        <f t="shared" si="52"/>
        <v>1.7575352112676055</v>
      </c>
      <c r="J517" s="2">
        <f t="shared" si="53"/>
        <v>3.0450669914738127</v>
      </c>
      <c r="K517" s="3">
        <f t="shared" si="54"/>
        <v>1.1272155598030078</v>
      </c>
      <c r="M517">
        <f t="shared" si="55"/>
        <v>1.0006093845216331</v>
      </c>
    </row>
    <row r="518" spans="1:13" x14ac:dyDescent="0.25">
      <c r="A518" s="4" t="s">
        <v>519</v>
      </c>
      <c r="B518" s="4">
        <v>140</v>
      </c>
      <c r="C518">
        <f t="shared" si="49"/>
        <v>0.7</v>
      </c>
      <c r="D518">
        <f t="shared" si="50"/>
        <v>328.2</v>
      </c>
      <c r="E518">
        <v>55.2</v>
      </c>
      <c r="G518">
        <f t="shared" si="51"/>
        <v>328.2</v>
      </c>
      <c r="H518" s="2">
        <f t="shared" si="52"/>
        <v>1.7450704225352114</v>
      </c>
      <c r="J518" s="2">
        <f t="shared" si="53"/>
        <v>3.0469226081657528</v>
      </c>
      <c r="K518" s="3">
        <f t="shared" si="54"/>
        <v>1.1135898231875629</v>
      </c>
      <c r="M518">
        <f t="shared" si="55"/>
        <v>1</v>
      </c>
    </row>
    <row r="519" spans="1:13" x14ac:dyDescent="0.25">
      <c r="A519" s="4" t="s">
        <v>520</v>
      </c>
      <c r="B519" s="4">
        <v>142</v>
      </c>
      <c r="C519">
        <f t="shared" si="49"/>
        <v>0.71</v>
      </c>
      <c r="D519">
        <f t="shared" si="50"/>
        <v>328.2</v>
      </c>
      <c r="E519">
        <v>55.2</v>
      </c>
      <c r="G519">
        <f t="shared" si="51"/>
        <v>328.2</v>
      </c>
      <c r="H519" s="2">
        <f t="shared" si="52"/>
        <v>1.77</v>
      </c>
      <c r="J519" s="2">
        <f t="shared" si="53"/>
        <v>3.0469226081657528</v>
      </c>
      <c r="K519" s="3">
        <f t="shared" si="54"/>
        <v>1.1419590931714756</v>
      </c>
      <c r="M519">
        <f t="shared" si="55"/>
        <v>1</v>
      </c>
    </row>
    <row r="520" spans="1:13" x14ac:dyDescent="0.25">
      <c r="A520" s="4" t="s">
        <v>521</v>
      </c>
      <c r="B520" s="4">
        <v>143</v>
      </c>
      <c r="C520">
        <f t="shared" si="49"/>
        <v>0.71499999999999997</v>
      </c>
      <c r="D520">
        <f t="shared" si="50"/>
        <v>328.2</v>
      </c>
      <c r="E520">
        <v>55.2</v>
      </c>
      <c r="G520">
        <f t="shared" si="51"/>
        <v>328.2</v>
      </c>
      <c r="H520" s="2">
        <f t="shared" si="52"/>
        <v>1.7824647887323946</v>
      </c>
      <c r="J520" s="2">
        <f t="shared" si="53"/>
        <v>3.0469226081657528</v>
      </c>
      <c r="K520" s="3">
        <f t="shared" si="54"/>
        <v>1.1559942384887689</v>
      </c>
      <c r="M520">
        <f t="shared" si="55"/>
        <v>1</v>
      </c>
    </row>
    <row r="521" spans="1:13" x14ac:dyDescent="0.25">
      <c r="A521" s="4" t="s">
        <v>522</v>
      </c>
      <c r="B521" s="4">
        <v>142</v>
      </c>
      <c r="C521">
        <f t="shared" si="49"/>
        <v>0.71</v>
      </c>
      <c r="D521">
        <f t="shared" si="50"/>
        <v>328.2</v>
      </c>
      <c r="E521">
        <v>55.2</v>
      </c>
      <c r="G521">
        <f t="shared" si="51"/>
        <v>328.2</v>
      </c>
      <c r="H521" s="2">
        <f t="shared" si="52"/>
        <v>1.77</v>
      </c>
      <c r="J521" s="2">
        <f t="shared" si="53"/>
        <v>3.0469226081657528</v>
      </c>
      <c r="K521" s="3">
        <f t="shared" si="54"/>
        <v>1.1419590931714756</v>
      </c>
      <c r="M521">
        <f t="shared" si="55"/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Ольга</cp:lastModifiedBy>
  <dcterms:created xsi:type="dcterms:W3CDTF">2023-05-02T14:21:15Z</dcterms:created>
  <dcterms:modified xsi:type="dcterms:W3CDTF">2023-05-04T16:27:31Z</dcterms:modified>
</cp:coreProperties>
</file>